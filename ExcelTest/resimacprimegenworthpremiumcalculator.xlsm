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C:\Users\Janu\Desktop\Python\ExcelTest\"/>
    </mc:Choice>
  </mc:AlternateContent>
  <xr:revisionPtr revIDLastSave="0" documentId="13_ncr:1_{69ED8779-7AD4-4639-8A9E-37A23AC67EAE}" xr6:coauthVersionLast="45" xr6:coauthVersionMax="45" xr10:uidLastSave="{00000000-0000-0000-0000-000000000000}"/>
  <workbookProtection workbookPassword="BD40" lockStructure="1"/>
  <bookViews>
    <workbookView xWindow="2160" yWindow="-13980" windowWidth="25800" windowHeight="13170" tabRatio="401" activeTab="1" xr2:uid="{00000000-000D-0000-FFFF-FFFF00000000}"/>
  </bookViews>
  <sheets>
    <sheet name="MENU" sheetId="12" r:id="rId1"/>
    <sheet name="PREMIUM" sheetId="1" r:id="rId2"/>
    <sheet name="Rate Cards" sheetId="16" state="hidden" r:id="rId3"/>
    <sheet name="Data" sheetId="10" state="hidden" r:id="rId4"/>
  </sheets>
  <definedNames>
    <definedName name="_xlnm._FilterDatabase" localSheetId="1" hidden="1">PREMIUM!$B$2:$L$30</definedName>
    <definedName name="BUSINESS_SELECT">'Rate Cards'!$B$32:$L$57</definedName>
    <definedName name="BUSINESS_SELECT_FHB">'Rate Cards'!$O$32:$Y$57</definedName>
    <definedName name="EssLatest" localSheetId="1">"INP_2004_01"</definedName>
    <definedName name="EssOptions" localSheetId="1">"A2100000000110000011001101020_01001000"</definedName>
    <definedName name="EssSamplingValue" localSheetId="1">100</definedName>
    <definedName name="HOMEBUYER_PLUS">'Rate Cards'!$B$62:$L$87</definedName>
    <definedName name="HOMEBUYER_PLUS_FHB">'Rate Cards'!$O$62:$Y$87</definedName>
    <definedName name="LoanSize">'Rate Cards'!$B$2:$L$2</definedName>
    <definedName name="LVR">'Rate Cards'!$B$2:$B$27</definedName>
    <definedName name="_xlnm.Print_Area" localSheetId="3">Data!$A$1:$J$31</definedName>
    <definedName name="_xlnm.Print_Area" localSheetId="1">PREMIUM!$B$1:$I$33</definedName>
    <definedName name="PropertyType">Data!$B$48:$C$50</definedName>
    <definedName name="STANDARD">'Rate Cards'!$B$2:$L$27</definedName>
    <definedName name="STANDARD_FHB">'Rate Cards'!$O$2:$Y$27</definedName>
    <definedName name="Z_398FF2B9_9C35_4944_9645_5E87FA7C56A5_.wvu.PrintArea" localSheetId="0" hidden="1">MENU!$A$1:$N$125</definedName>
    <definedName name="Z_398FF2B9_9C35_4944_9645_5E87FA7C56A5_.wvu.PrintArea" localSheetId="1" hidden="1">PREMIUM!$B$1:$I$33</definedName>
    <definedName name="Z_398FF2B9_9C35_4944_9645_5E87FA7C56A5_.wvu.Rows" localSheetId="1" hidden="1">PREMIUM!#REF!</definedName>
    <definedName name="Z_522045B1_E88F_4DC6_A25A_441F595A7309_.wvu.PrintArea" localSheetId="1" hidden="1">PREMIUM!$A$1:$J$33</definedName>
  </definedNames>
  <calcPr calcId="191029"/>
  <customWorkbookViews>
    <customWorkbookView name="krichard - Personal View" guid="{398FF2B9-9C35-4944-9645-5E87FA7C56A5}" mergeInterval="0" personalView="1" maximized="1" windowWidth="1020" windowHeight="579" tabRatio="635" activeSheetId="1"/>
    <customWorkbookView name="GE Mortgage Insurance - Personal View" guid="{522045B1-E88F-4DC6-A25A-441F595A7309}" mergeInterval="0" personalView="1" maximized="1" windowWidth="796" windowHeight="482" tabRatio="556" activeSheetId="1" showStatusbar="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 l="1"/>
  <c r="I4" i="1" l="1"/>
  <c r="C62" i="1" l="1"/>
  <c r="H97" i="1"/>
  <c r="B61" i="1" l="1"/>
  <c r="B60" i="1"/>
  <c r="D33" i="1"/>
  <c r="B33" i="1"/>
  <c r="C38" i="1"/>
  <c r="I33" i="1"/>
  <c r="G2" i="1" l="1"/>
  <c r="H102" i="1"/>
  <c r="D20" i="1" s="1"/>
  <c r="D69" i="1"/>
  <c r="H96" i="1"/>
  <c r="H95" i="1"/>
  <c r="H94" i="1"/>
  <c r="H93" i="1"/>
  <c r="E15" i="1" l="1"/>
  <c r="E14" i="1"/>
  <c r="E9" i="1"/>
  <c r="E12" i="1"/>
  <c r="E11" i="1"/>
  <c r="B20" i="1"/>
  <c r="B19" i="1"/>
  <c r="D73" i="1"/>
  <c r="D68" i="1"/>
  <c r="G12" i="1" s="1"/>
  <c r="D74" i="1"/>
  <c r="B4" i="1" l="1"/>
  <c r="B12" i="1"/>
  <c r="B10" i="1"/>
  <c r="D70" i="1"/>
  <c r="D78" i="1" s="1"/>
  <c r="D72" i="1"/>
  <c r="G95" i="1" l="1"/>
  <c r="G93" i="1"/>
  <c r="G96" i="1"/>
  <c r="G94" i="1"/>
  <c r="J5" i="1"/>
  <c r="C52" i="1"/>
  <c r="C53" i="1"/>
  <c r="C54" i="1"/>
  <c r="C55" i="1"/>
  <c r="C51" i="1"/>
  <c r="B51" i="1"/>
  <c r="B52" i="1"/>
  <c r="B53" i="1"/>
  <c r="B54" i="1"/>
  <c r="B55" i="1"/>
  <c r="E55" i="1" l="1"/>
  <c r="E54" i="1"/>
  <c r="D55" i="1" l="1"/>
  <c r="D54" i="1"/>
  <c r="D53" i="1"/>
  <c r="D52" i="1"/>
  <c r="D51" i="1"/>
  <c r="C45" i="1"/>
  <c r="C44" i="1"/>
  <c r="C60" i="1" l="1"/>
  <c r="C61" i="1"/>
  <c r="C46" i="1"/>
  <c r="D65" i="1" s="1"/>
  <c r="G97" i="1" s="1"/>
  <c r="D56" i="1"/>
  <c r="G52" i="1" s="1"/>
  <c r="D61" i="1" l="1"/>
  <c r="D62" i="1" s="1"/>
  <c r="D60" i="1"/>
  <c r="H99" i="1" a="1"/>
  <c r="H99" i="1" s="1"/>
  <c r="G53" i="1"/>
  <c r="G54" i="1"/>
  <c r="G55" i="1"/>
  <c r="G51" i="1"/>
  <c r="D66" i="1"/>
  <c r="E51" i="1"/>
  <c r="E52" i="1"/>
  <c r="E53" i="1"/>
  <c r="G18" i="10"/>
  <c r="G19" i="10"/>
  <c r="G20" i="10"/>
  <c r="G21" i="10"/>
  <c r="G24" i="10"/>
  <c r="G25" i="10"/>
  <c r="G26" i="10"/>
  <c r="G27" i="10"/>
  <c r="G28" i="10"/>
  <c r="G29" i="10"/>
  <c r="G30" i="10"/>
  <c r="G31" i="10"/>
  <c r="I3" i="1"/>
  <c r="D67" i="1" l="1"/>
  <c r="D71" i="1"/>
  <c r="E84" i="1" l="1"/>
  <c r="D83" i="1"/>
  <c r="E83" i="1"/>
  <c r="D18" i="1"/>
  <c r="D84" i="1"/>
  <c r="D85" i="1"/>
  <c r="E85" i="1"/>
  <c r="D82" i="1"/>
  <c r="E82" i="1"/>
  <c r="D81" i="1"/>
  <c r="E81" i="1"/>
  <c r="D86" i="1" l="1"/>
  <c r="D88" i="1" s="1"/>
  <c r="E86" i="1"/>
  <c r="E88" i="1" s="1"/>
  <c r="H101" i="1" l="1"/>
  <c r="D19" i="1" s="1"/>
  <c r="H103" i="1" l="1"/>
  <c r="H105" i="1" s="1"/>
  <c r="D21" i="1" s="1"/>
  <c r="H51" i="1" s="1"/>
  <c r="H54" i="1" l="1"/>
  <c r="H53" i="1"/>
  <c r="H55" i="1"/>
  <c r="D27" i="1"/>
  <c r="I29" i="1" s="1"/>
  <c r="H52" i="1"/>
  <c r="H56" i="1" l="1"/>
  <c r="D22" i="1" s="1"/>
  <c r="I22" i="1" s="1"/>
  <c r="D26" i="1"/>
  <c r="I26" i="1" s="1"/>
  <c r="I27" i="1"/>
  <c r="I30" i="1" s="1"/>
  <c r="D23" i="1" l="1"/>
  <c r="I28" i="1"/>
  <c r="I21" i="1" s="1"/>
  <c r="I23" i="1" s="1"/>
  <c r="C40" i="1" s="1"/>
  <c r="D28" i="1"/>
  <c r="D29" i="1" l="1"/>
  <c r="E29" i="1" l="1"/>
  <c r="D30" i="1"/>
  <c r="B24" i="1" s="1"/>
  <c r="I24" i="1" l="1"/>
  <c r="G24" i="1"/>
  <c r="E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430004213</author>
  </authors>
  <commentList>
    <comment ref="E83" authorId="0" shapeId="0" xr:uid="{00000000-0006-0000-0100-000001000000}">
      <text>
        <r>
          <rPr>
            <b/>
            <sz val="8"/>
            <color indexed="81"/>
            <rFont val="Tahoma"/>
            <family val="2"/>
          </rPr>
          <t>430004213:</t>
        </r>
        <r>
          <rPr>
            <sz val="8"/>
            <color indexed="81"/>
            <rFont val="Tahoma"/>
            <family val="2"/>
          </rPr>
          <t xml:space="preserve">
Note: Forumula looks to see if the Loan Type is a New Loan or a Top up.  If the loan is a top up, loan purpose is not applied</t>
        </r>
      </text>
    </comment>
    <comment ref="E84" authorId="0" shapeId="0" xr:uid="{00000000-0006-0000-0100-000002000000}">
      <text>
        <r>
          <rPr>
            <b/>
            <sz val="8"/>
            <color indexed="81"/>
            <rFont val="Tahoma"/>
            <family val="2"/>
          </rPr>
          <t>430004213:</t>
        </r>
        <r>
          <rPr>
            <sz val="8"/>
            <color indexed="81"/>
            <rFont val="Tahoma"/>
            <family val="2"/>
          </rPr>
          <t xml:space="preserve">
Note: Forumula looks to see if the Product is business select ('2nd' item in the product list on data tab).  If the product is business select, Self Employed Loader is not applied</t>
        </r>
      </text>
    </comment>
  </commentList>
</comments>
</file>

<file path=xl/sharedStrings.xml><?xml version="1.0" encoding="utf-8"?>
<sst xmlns="http://schemas.openxmlformats.org/spreadsheetml/2006/main" count="1947" uniqueCount="197">
  <si>
    <t>Premium</t>
  </si>
  <si>
    <t>Total</t>
  </si>
  <si>
    <t>Stamp Duty Rates</t>
  </si>
  <si>
    <t>Select State of Security</t>
  </si>
  <si>
    <t>Product</t>
  </si>
  <si>
    <t>Premiums</t>
  </si>
  <si>
    <t>Max $</t>
  </si>
  <si>
    <t>Max LVR %</t>
  </si>
  <si>
    <t>Min Prem Amount</t>
  </si>
  <si>
    <t>Valid Until</t>
  </si>
  <si>
    <t>Refer</t>
  </si>
  <si>
    <t>Top-Up (on existing insured loan)</t>
  </si>
  <si>
    <t xml:space="preserve">  LVR</t>
  </si>
  <si>
    <t xml:space="preserve">  Premium</t>
  </si>
  <si>
    <t>Yes</t>
  </si>
  <si>
    <t>No</t>
  </si>
  <si>
    <t>Total (capitalised) LVR:</t>
  </si>
  <si>
    <t>Total GST component:</t>
  </si>
  <si>
    <t>RITC component (75% of GST):</t>
  </si>
  <si>
    <t>Family Pledge</t>
  </si>
  <si>
    <t>HomeBuyer Plus</t>
  </si>
  <si>
    <t>Up to 30 years</t>
  </si>
  <si>
    <t>Greater than 30 years up to 35 years</t>
  </si>
  <si>
    <t>Greater than 35 years up to 40 years</t>
  </si>
  <si>
    <t>Date:</t>
  </si>
  <si>
    <t>Prepared for:</t>
  </si>
  <si>
    <t>Disclaimer</t>
  </si>
  <si>
    <t>TERM</t>
  </si>
  <si>
    <t>FHB</t>
  </si>
  <si>
    <t>PURPOSE</t>
  </si>
  <si>
    <t>Equity Release (or Cash-out)</t>
  </si>
  <si>
    <t>If the predominant loan purpose is for Home Improvements or Renovation, and the loan funds are being released to the borrower, Genworth consider this to be a Cash-Out and the Equity Release loan purpose should be selected.</t>
  </si>
  <si>
    <t>Purchase or Construction</t>
  </si>
  <si>
    <t>Home Improvement/Renovation</t>
  </si>
  <si>
    <t xml:space="preserve">Prepared for:   </t>
  </si>
  <si>
    <t>Up to 60%</t>
  </si>
  <si>
    <t>above 60% to 65%</t>
  </si>
  <si>
    <t>above 65% to 70%</t>
  </si>
  <si>
    <t>above 70% to 75%</t>
  </si>
  <si>
    <t>above 75% to 80%</t>
  </si>
  <si>
    <t>above 80% to 81%</t>
  </si>
  <si>
    <t>above 81% to 82%</t>
  </si>
  <si>
    <t>above 82% to 83%</t>
  </si>
  <si>
    <t>above 83% to 84%</t>
  </si>
  <si>
    <t>above 84% to 85%</t>
  </si>
  <si>
    <t>above 85% to 86%</t>
  </si>
  <si>
    <t>above 86% to 87%</t>
  </si>
  <si>
    <t>above 87% to 88%</t>
  </si>
  <si>
    <t>above 88% to 89%</t>
  </si>
  <si>
    <t>above 89% to 90%</t>
  </si>
  <si>
    <t>above 90% to 91%</t>
  </si>
  <si>
    <t>above 91% to 92%</t>
  </si>
  <si>
    <t>above 92% to 93%</t>
  </si>
  <si>
    <t>above 93% to 94%</t>
  </si>
  <si>
    <t>above 94% to 95%</t>
  </si>
  <si>
    <t>TO $300,000</t>
  </si>
  <si>
    <t>FROM $300,001 TO $500,000</t>
  </si>
  <si>
    <t>above 95% to 96%</t>
  </si>
  <si>
    <t>above 96% to 97%</t>
  </si>
  <si>
    <t>above 97% to 98%</t>
  </si>
  <si>
    <t>above 98% to 99%</t>
  </si>
  <si>
    <t>above 99% to 100%</t>
  </si>
  <si>
    <t>New Loan</t>
  </si>
  <si>
    <t xml:space="preserve">(Where the lender charges the borrower for the cost of LMI and applies </t>
  </si>
  <si>
    <t xml:space="preserve"> the Reduced Input Tax Credit -RITC- benefit)</t>
  </si>
  <si>
    <t>Click on any field label below for a description of required content.</t>
  </si>
  <si>
    <t>New South Wales</t>
  </si>
  <si>
    <t>Victoria</t>
  </si>
  <si>
    <t>South Australia</t>
  </si>
  <si>
    <t>Western Australia</t>
  </si>
  <si>
    <t>Tasmania</t>
  </si>
  <si>
    <t>Northern Territory</t>
  </si>
  <si>
    <t>Aust. Capital Territory</t>
  </si>
  <si>
    <t>Internal Refinance</t>
  </si>
  <si>
    <t>External Refinance/Debt Consolidation</t>
  </si>
  <si>
    <t>Where the predominant loan purpose is an Internal Refinance, the lender warrants that the existing loan has been conducted satisfactorily.</t>
  </si>
  <si>
    <t>most accurate premium rate.</t>
  </si>
  <si>
    <r>
      <t xml:space="preserve">Where the predominant loan purpose is for anything other than </t>
    </r>
    <r>
      <rPr>
        <i/>
        <sz val="10"/>
        <color indexed="9"/>
        <rFont val="Univers 45 Light"/>
        <family val="2"/>
      </rPr>
      <t>Purchase, Construction, Internal Refinance or genuine Home Improvements,</t>
    </r>
    <r>
      <rPr>
        <sz val="10"/>
        <color indexed="9"/>
        <rFont val="Univers 45 Light"/>
        <family val="2"/>
      </rPr>
      <t xml:space="preserve"> it will be regarded as an Equity Release and an additional 5% is included in the LMI premium. </t>
    </r>
  </si>
  <si>
    <t xml:space="preserve">Where the predominant loan purpose is for External Refinance or Debt Consolidation, the premium is increased by an additional 5%. </t>
  </si>
  <si>
    <t>Calculator. If you have any questions please contact your</t>
  </si>
  <si>
    <t>The Quick Guide details how to use the Genworth LMI Premium</t>
  </si>
  <si>
    <t>In just a few steps, you will obtain the applicable premium rate</t>
  </si>
  <si>
    <t>reflect any changes to our policy or pricing, ensuring you receive the</t>
  </si>
  <si>
    <t xml:space="preserve">The calculator will be updated and reissued to you by Genworth to </t>
  </si>
  <si>
    <t xml:space="preserve">Enables you to calculate the Lenders Mortgage Insurance (LMI) </t>
  </si>
  <si>
    <t>premium rate for your customers in our easy-to-use spreadsheet</t>
  </si>
  <si>
    <t>Premium breakdown</t>
  </si>
  <si>
    <t xml:space="preserve"> Lender's charge to borrower </t>
  </si>
  <si>
    <t>Premium payable to Genworth</t>
  </si>
  <si>
    <t xml:space="preserve">  New premium (including GST):</t>
  </si>
  <si>
    <t>Stamp duty</t>
  </si>
  <si>
    <t xml:space="preserve">  Premium breakdown</t>
  </si>
  <si>
    <t xml:space="preserve">  Stamp duty</t>
  </si>
  <si>
    <t xml:space="preserve">  Total amount payable</t>
  </si>
  <si>
    <t xml:space="preserve">  Total premium</t>
  </si>
  <si>
    <t>Total premium</t>
  </si>
  <si>
    <t>GST (25% x 1/11th of premium)</t>
  </si>
  <si>
    <t xml:space="preserve">  GST (1/11th of premium)</t>
  </si>
  <si>
    <t>If premium capitalised: Total loan amount:</t>
  </si>
  <si>
    <t>Borrower name</t>
  </si>
  <si>
    <t>Lender's reference no.</t>
  </si>
  <si>
    <t>New loan or top-up</t>
  </si>
  <si>
    <t>LMI product</t>
  </si>
  <si>
    <t>Predominant loan purpose</t>
  </si>
  <si>
    <t>Outstanding bal. uninsured</t>
  </si>
  <si>
    <t>First Home Buyer</t>
  </si>
  <si>
    <t>Loan term</t>
  </si>
  <si>
    <t>Genworth Relationship Manager.</t>
  </si>
  <si>
    <t>FROM $500,001 TO $600,000</t>
  </si>
  <si>
    <t>FROM $600,001 TO $750,000</t>
  </si>
  <si>
    <t>Value</t>
  </si>
  <si>
    <t>Loan Amount</t>
  </si>
  <si>
    <t>Uninsured Loan</t>
  </si>
  <si>
    <t>Total Loan Amount</t>
  </si>
  <si>
    <t>Security Summary</t>
  </si>
  <si>
    <t>State</t>
  </si>
  <si>
    <t>Stamp Duty %</t>
  </si>
  <si>
    <t>Stamp Duty $</t>
  </si>
  <si>
    <t>Policy Summary</t>
  </si>
  <si>
    <t>Total Security Value</t>
  </si>
  <si>
    <t>Base LVR</t>
  </si>
  <si>
    <t>Loan Type</t>
  </si>
  <si>
    <t>Premium Rate</t>
  </si>
  <si>
    <t>Total Premium Rate</t>
  </si>
  <si>
    <t>First Home Buyer?</t>
  </si>
  <si>
    <t>Self Employed Loader</t>
  </si>
  <si>
    <t>Standard</t>
  </si>
  <si>
    <t>Does flat fee apply?</t>
  </si>
  <si>
    <t>Flat Fee</t>
  </si>
  <si>
    <t>Calculated Fee</t>
  </si>
  <si>
    <t>Loan term Loader</t>
  </si>
  <si>
    <t>Loan Term</t>
  </si>
  <si>
    <t>Calculated Premium</t>
  </si>
  <si>
    <t>Investment Property Loader</t>
  </si>
  <si>
    <t xml:space="preserve">STANDARD
</t>
  </si>
  <si>
    <t>FROM $750,001 TO $1.0M</t>
  </si>
  <si>
    <t>FROM $1.0M TO $1.5M</t>
  </si>
  <si>
    <t>FROM $1.5M TO $2.0M</t>
  </si>
  <si>
    <t>FROM $2.0M TO $2.5M</t>
  </si>
  <si>
    <t>Homebuyer Plus</t>
  </si>
  <si>
    <t>STANDARD
First Home Buyer</t>
  </si>
  <si>
    <t>Homebuyer Plus
First Home Buyer</t>
  </si>
  <si>
    <t>Family Pledge
First Home Buyer</t>
  </si>
  <si>
    <t>Rate Card Reference</t>
  </si>
  <si>
    <t>Self Employed?</t>
  </si>
  <si>
    <t>Self Employed Indicator</t>
  </si>
  <si>
    <t>Loader</t>
  </si>
  <si>
    <t>Owner Occupied</t>
  </si>
  <si>
    <t>Security Type</t>
  </si>
  <si>
    <t>Predominant Security Type</t>
  </si>
  <si>
    <t>% of total Value</t>
  </si>
  <si>
    <t>Predominant Type</t>
  </si>
  <si>
    <t>Predominant Property Type</t>
  </si>
  <si>
    <t xml:space="preserve">Expiry Date </t>
  </si>
  <si>
    <t>Miniumum Premiums</t>
  </si>
  <si>
    <t>Type</t>
  </si>
  <si>
    <t>Other Factors</t>
  </si>
  <si>
    <t>NA</t>
  </si>
  <si>
    <t>All</t>
  </si>
  <si>
    <t>Minumum Premium</t>
  </si>
  <si>
    <t>Loan Amount 500000 or greater</t>
  </si>
  <si>
    <t>Applicable?</t>
  </si>
  <si>
    <t>Minimum Premium Apppliable</t>
  </si>
  <si>
    <t>Current Calculated Premium</t>
  </si>
  <si>
    <t>Less Premium Already Paid</t>
  </si>
  <si>
    <t>Net Premium</t>
  </si>
  <si>
    <t>Applicable Premium Given Minumum Premium</t>
  </si>
  <si>
    <t>RITC - (1=Yes, 2=No)</t>
  </si>
  <si>
    <t>Loan Purpose</t>
  </si>
  <si>
    <t>Loan Purpose Loader</t>
  </si>
  <si>
    <t>Capitalised premium:</t>
  </si>
  <si>
    <t>Loan Details</t>
  </si>
  <si>
    <t>Apportioned</t>
  </si>
  <si>
    <t xml:space="preserve">Valid until </t>
  </si>
  <si>
    <t>PLEASE ENTER DETAILS FOR EACH SECURITY:</t>
  </si>
  <si>
    <t>State of Security</t>
  </si>
  <si>
    <t>Effective date</t>
  </si>
  <si>
    <t>Occupancy Type</t>
  </si>
  <si>
    <t>Rental</t>
  </si>
  <si>
    <t>Global Min. Premium - top-ups where total exposure &gt; $500,000</t>
  </si>
  <si>
    <t>Predominant security type % for application of Inv. Loader</t>
  </si>
  <si>
    <t>Business Select</t>
  </si>
  <si>
    <t>Business Select
First Home Buyer</t>
  </si>
  <si>
    <t>Policy max. for Investment loans after cap:</t>
  </si>
  <si>
    <t>Queensland</t>
  </si>
  <si>
    <t xml:space="preserve">  ® Genworth, Genworth Financial and the Genworth logo are registered service marks of Genworth Financial, Inc and used pursuant to licence.</t>
  </si>
  <si>
    <t>MINIMUM PREMIUM - FLAT FEE (WHERE APPLICABLE) OTHERWISE $1200</t>
  </si>
  <si>
    <t>MINIMUM PREMIUM - $1200</t>
  </si>
  <si>
    <t>MINIMUM PREMIUM - $1500</t>
  </si>
  <si>
    <t xml:space="preserve">  Confidential. Genworth Financial Mortgage Insurance Pty Limited ABN 60 106 974 305. </t>
  </si>
  <si>
    <t>A Standard New Loan for purchase or construction requires a minimum of 5% of the total cost to be verified as genuine savings if the LVR exceeds 90%. Regardless of the LVR or loan purpose, income and employment must be fully verified.</t>
  </si>
  <si>
    <t>FROM $2.5M TO $3.0M</t>
  </si>
  <si>
    <t>FROM $3.0M TO $3.5M</t>
  </si>
  <si>
    <r>
      <t>DISCLAIMER</t>
    </r>
    <r>
      <rPr>
        <sz val="8"/>
        <rFont val="Arial"/>
        <family val="2"/>
      </rPr>
      <t xml:space="preserve">
This Premium Calculator is confidential information of Genworth Financial Mortgage Insurance Pty Limited (Genworth).  The Premium Calculator, including any part of it and information derived from it, must not be disclosed to any person except with Genworth’s prior written consent.  
This Premium Calculator is a guide only of the premium that may be payable.  The actual amount of premium payable will be calculated by Genworth in connection with an application for insurance. Use of this premium Calculator does not constitute an application for insurance and the actual premium payable may be different to any guide previously provided. In no event shall Genworth or any of its related bodies corporate, related entities or employees be liable for any direct, indirect, special, consequential or other loss (including, without limitation, any lost profits, business interruption, loss of information or other data) related to the use of this Premium Calculator.  Genworth reserves the right to make amendments to this Premium Calculator at any time and without any prior notification.
</t>
    </r>
  </si>
  <si>
    <t xml:space="preserve">  © 2019 Genworth Financial Mortgage Insurance Pty Limited. All rights reserved.</t>
  </si>
  <si>
    <t>VERSION 2019-11</t>
  </si>
  <si>
    <t>Resimac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</si>
</sst>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quot;$&quot;#,##0;\-&quot;$&quot;#,##0"/>
    <numFmt numFmtId="7" formatCode="&quot;$&quot;#,##0.00;\-&quot;$&quot;#,##0.00"/>
    <numFmt numFmtId="44" formatCode="_-&quot;$&quot;* #,##0.00_-;\-&quot;$&quot;* #,##0.00_-;_-&quot;$&quot;* &quot;-&quot;??_-;_-@_-"/>
    <numFmt numFmtId="43" formatCode="_-* #,##0.00_-;\-* #,##0.00_-;_-* &quot;-&quot;??_-;_-@_-"/>
    <numFmt numFmtId="164" formatCode="_(&quot;$&quot;* #,##0.00_);_(&quot;$&quot;* \(#,##0.00\);_(&quot;$&quot;* &quot;-&quot;??_);_(@_)"/>
    <numFmt numFmtId="165" formatCode="_-* #,##0_-;\-* #,##0_-;_-* &quot;-&quot;??_-;_-@_-"/>
    <numFmt numFmtId="166" formatCode="&quot;$&quot;#,##0.00"/>
    <numFmt numFmtId="167" formatCode="mmmm\ d\,\ yyyy"/>
    <numFmt numFmtId="168" formatCode="#,##0_ ;\-#,##0\ "/>
    <numFmt numFmtId="169" formatCode="&quot;$&quot;#,##0"/>
    <numFmt numFmtId="170" formatCode="[$-C09]d\ mmmm\ yyyy;@"/>
    <numFmt numFmtId="171" formatCode="0.0%"/>
    <numFmt numFmtId="172" formatCode="_-* #,##0.0000_-;\-* #,##0.0000_-;_-* &quot;-&quot;??_-;_-@_-"/>
    <numFmt numFmtId="173" formatCode="_-* #,##0.0000_-;\-* #,##0.0000_-;_-* &quot;-&quot;????_-;_-@_-"/>
    <numFmt numFmtId="174" formatCode="d/mm/yyyy;@"/>
  </numFmts>
  <fonts count="85">
    <font>
      <sz val="10"/>
      <name val="Arial"/>
    </font>
    <font>
      <sz val="10"/>
      <name val="Arial"/>
      <family val="2"/>
    </font>
    <font>
      <b/>
      <sz val="10"/>
      <name val="Arial"/>
      <family val="2"/>
    </font>
    <font>
      <b/>
      <u/>
      <sz val="18"/>
      <name val="Arial"/>
      <family val="2"/>
    </font>
    <font>
      <sz val="12"/>
      <name val="Arial"/>
      <family val="2"/>
    </font>
    <font>
      <b/>
      <sz val="12"/>
      <name val="Arial"/>
      <family val="2"/>
    </font>
    <font>
      <b/>
      <sz val="14"/>
      <name val="Arial"/>
      <family val="2"/>
    </font>
    <font>
      <u/>
      <sz val="10"/>
      <color indexed="12"/>
      <name val="Arial"/>
      <family val="2"/>
    </font>
    <font>
      <u/>
      <sz val="18"/>
      <name val="Arial"/>
      <family val="2"/>
    </font>
    <font>
      <b/>
      <u/>
      <sz val="18"/>
      <name val="Univers 45 Light"/>
      <family val="2"/>
    </font>
    <font>
      <sz val="10"/>
      <name val="Univers 45 Light"/>
      <family val="2"/>
    </font>
    <font>
      <sz val="12"/>
      <name val="Univers 45 Light"/>
      <family val="2"/>
    </font>
    <font>
      <b/>
      <sz val="10"/>
      <name val="Univers 45 Light"/>
      <family val="2"/>
    </font>
    <font>
      <sz val="10"/>
      <color indexed="12"/>
      <name val="Univers 45 Light"/>
      <family val="2"/>
    </font>
    <font>
      <sz val="10"/>
      <color indexed="9"/>
      <name val="Univers 45 Light"/>
      <family val="2"/>
    </font>
    <font>
      <sz val="12"/>
      <color indexed="9"/>
      <name val="Univers 45 Light"/>
      <family val="2"/>
    </font>
    <font>
      <sz val="10"/>
      <color indexed="12"/>
      <name val="Arial"/>
      <family val="2"/>
    </font>
    <font>
      <b/>
      <u/>
      <sz val="9"/>
      <color indexed="12"/>
      <name val="Arial Narrow"/>
      <family val="2"/>
    </font>
    <font>
      <sz val="8"/>
      <name val="Arial"/>
      <family val="2"/>
    </font>
    <font>
      <sz val="9"/>
      <name val="Arial"/>
      <family val="2"/>
    </font>
    <font>
      <sz val="10"/>
      <color indexed="8"/>
      <name val="Arial"/>
      <family val="2"/>
    </font>
    <font>
      <b/>
      <sz val="10"/>
      <color indexed="10"/>
      <name val="Symbol"/>
      <family val="1"/>
      <charset val="2"/>
    </font>
    <font>
      <b/>
      <u/>
      <sz val="8"/>
      <name val="Arial"/>
      <family val="2"/>
    </font>
    <font>
      <sz val="10"/>
      <name val="Wingdings"/>
      <charset val="2"/>
    </font>
    <font>
      <sz val="10"/>
      <name val="Arial"/>
      <family val="2"/>
    </font>
    <font>
      <b/>
      <sz val="10"/>
      <color indexed="10"/>
      <name val="Arial"/>
      <family val="2"/>
    </font>
    <font>
      <sz val="8"/>
      <color indexed="12"/>
      <name val="Arial"/>
      <family val="2"/>
    </font>
    <font>
      <sz val="6"/>
      <name val="Arial"/>
      <family val="2"/>
    </font>
    <font>
      <b/>
      <sz val="10"/>
      <color indexed="12"/>
      <name val="Arial"/>
      <family val="2"/>
    </font>
    <font>
      <sz val="11"/>
      <name val="Arial"/>
      <family val="2"/>
    </font>
    <font>
      <b/>
      <sz val="11"/>
      <name val="Arial"/>
      <family val="2"/>
    </font>
    <font>
      <b/>
      <sz val="24"/>
      <color indexed="60"/>
      <name val="Arial"/>
      <family val="2"/>
    </font>
    <font>
      <b/>
      <sz val="10"/>
      <color indexed="12"/>
      <name val="Univers 45 Light"/>
      <family val="2"/>
    </font>
    <font>
      <i/>
      <sz val="10"/>
      <color indexed="9"/>
      <name val="Univers 45 Light"/>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1"/>
      <name val="Arial"/>
      <family val="2"/>
    </font>
    <font>
      <sz val="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18"/>
      <name val="Arial"/>
      <family val="2"/>
    </font>
    <font>
      <b/>
      <sz val="10"/>
      <color indexed="10"/>
      <name val="Univers 45 Light"/>
      <family val="2"/>
    </font>
    <font>
      <b/>
      <sz val="11"/>
      <color indexed="23"/>
      <name val="Arial"/>
      <family val="2"/>
    </font>
    <font>
      <sz val="10"/>
      <color indexed="23"/>
      <name val="Univers 45 Light"/>
      <family val="2"/>
    </font>
    <font>
      <b/>
      <sz val="10"/>
      <color indexed="23"/>
      <name val="Arial"/>
      <family val="2"/>
    </font>
    <font>
      <sz val="10"/>
      <color indexed="23"/>
      <name val="Arial"/>
      <family val="2"/>
    </font>
    <font>
      <b/>
      <sz val="12"/>
      <color indexed="23"/>
      <name val="Arial"/>
      <family val="2"/>
    </font>
    <font>
      <sz val="9"/>
      <color indexed="23"/>
      <name val="Arial"/>
      <family val="2"/>
    </font>
    <font>
      <b/>
      <sz val="8"/>
      <color indexed="10"/>
      <name val="Arial"/>
      <family val="2"/>
    </font>
    <font>
      <b/>
      <sz val="10"/>
      <color indexed="8"/>
      <name val="Arial"/>
      <family val="2"/>
    </font>
    <font>
      <b/>
      <sz val="22"/>
      <color rgb="FFC00000"/>
      <name val="Arial"/>
      <family val="2"/>
    </font>
    <font>
      <b/>
      <sz val="18"/>
      <color theme="0"/>
      <name val="Arial"/>
      <family val="2"/>
    </font>
    <font>
      <b/>
      <sz val="12"/>
      <color theme="0"/>
      <name val="Arial"/>
      <family val="2"/>
    </font>
    <font>
      <sz val="9"/>
      <color theme="1"/>
      <name val="Arial"/>
      <family val="2"/>
    </font>
    <font>
      <b/>
      <sz val="12"/>
      <color rgb="FF000000"/>
      <name val="Arial"/>
      <family val="2"/>
    </font>
    <font>
      <b/>
      <sz val="10"/>
      <name val="Univers 45 Light"/>
    </font>
    <font>
      <b/>
      <u/>
      <sz val="10"/>
      <name val="Univers 45 Light"/>
    </font>
    <font>
      <sz val="8"/>
      <name val="Univers 45 Light"/>
      <family val="2"/>
    </font>
    <font>
      <u/>
      <sz val="10"/>
      <name val="Arial"/>
      <family val="2"/>
    </font>
    <font>
      <sz val="6"/>
      <color theme="0"/>
      <name val="Arial"/>
      <family val="2"/>
    </font>
    <font>
      <sz val="10"/>
      <color rgb="FFFF0000"/>
      <name val="Univers 45 Light"/>
      <family val="2"/>
    </font>
    <font>
      <sz val="10"/>
      <name val="Univers 45 Light"/>
    </font>
    <font>
      <b/>
      <sz val="10"/>
      <color theme="4" tint="-0.249977111117893"/>
      <name val="Arial"/>
      <family val="2"/>
    </font>
    <font>
      <sz val="10"/>
      <color theme="4" tint="-0.249977111117893"/>
      <name val="Arial"/>
      <family val="2"/>
    </font>
    <font>
      <b/>
      <sz val="9"/>
      <color indexed="8"/>
      <name val="Arial"/>
      <family val="2"/>
    </font>
    <font>
      <sz val="8"/>
      <color indexed="81"/>
      <name val="Tahoma"/>
      <family val="2"/>
    </font>
    <font>
      <b/>
      <sz val="8"/>
      <color indexed="81"/>
      <name val="Tahoma"/>
      <family val="2"/>
    </font>
    <font>
      <sz val="11"/>
      <name val="Univers 45 Light"/>
      <family val="2"/>
    </font>
    <font>
      <b/>
      <sz val="12"/>
      <color theme="4" tint="-0.249977111117893"/>
      <name val="Arial"/>
      <family val="2"/>
    </font>
    <font>
      <b/>
      <sz val="10"/>
      <color theme="1"/>
      <name val="Arial"/>
      <family val="2"/>
    </font>
    <font>
      <sz val="10"/>
      <color theme="1"/>
      <name val="Arial"/>
      <family val="2"/>
    </font>
    <font>
      <b/>
      <sz val="10"/>
      <color rgb="FFFF000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rgb="FF0070C0"/>
        <bgColor indexed="64"/>
      </patternFill>
    </fill>
    <fill>
      <patternFill patternType="solid">
        <fgColor theme="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s>
  <borders count="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9"/>
      </right>
      <top style="thin">
        <color indexed="64"/>
      </top>
      <bottom style="thin">
        <color indexed="64"/>
      </bottom>
      <diagonal/>
    </border>
    <border>
      <left style="medium">
        <color indexed="9"/>
      </left>
      <right style="medium">
        <color indexed="9"/>
      </right>
      <top style="thin">
        <color indexed="64"/>
      </top>
      <bottom style="thin">
        <color indexed="64"/>
      </bottom>
      <diagonal/>
    </border>
    <border>
      <left style="medium">
        <color indexed="9"/>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style="thin">
        <color indexed="18"/>
      </left>
      <right style="thin">
        <color indexed="18"/>
      </right>
      <top style="thin">
        <color indexed="18"/>
      </top>
      <bottom style="thin">
        <color indexed="18"/>
      </bottom>
      <diagonal/>
    </border>
    <border>
      <left/>
      <right/>
      <top style="thin">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18"/>
      </left>
      <right/>
      <top style="thin">
        <color indexed="18"/>
      </top>
      <bottom/>
      <diagonal/>
    </border>
    <border>
      <left/>
      <right style="thin">
        <color indexed="18"/>
      </right>
      <top style="thin">
        <color indexed="18"/>
      </top>
      <bottom/>
      <diagonal/>
    </border>
    <border>
      <left style="thin">
        <color indexed="18"/>
      </left>
      <right/>
      <top style="thin">
        <color indexed="18"/>
      </top>
      <bottom style="thin">
        <color indexed="18"/>
      </bottom>
      <diagonal/>
    </border>
    <border>
      <left/>
      <right style="thin">
        <color indexed="18"/>
      </right>
      <top style="thin">
        <color indexed="18"/>
      </top>
      <bottom style="thin">
        <color indexed="18"/>
      </bottom>
      <diagonal/>
    </border>
    <border>
      <left style="thin">
        <color indexed="18"/>
      </left>
      <right/>
      <top/>
      <bottom/>
      <diagonal/>
    </border>
    <border>
      <left style="thin">
        <color indexed="18"/>
      </left>
      <right/>
      <top/>
      <bottom style="thin">
        <color indexed="18"/>
      </bottom>
      <diagonal/>
    </border>
    <border>
      <left/>
      <right style="thin">
        <color indexed="18"/>
      </right>
      <top/>
      <bottom style="thin">
        <color indexed="18"/>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theme="3" tint="0.39991454817346722"/>
      </left>
      <right style="thin">
        <color theme="3" tint="0.39991454817346722"/>
      </right>
      <top style="thin">
        <color theme="3" tint="0.39991454817346722"/>
      </top>
      <bottom style="thin">
        <color theme="3" tint="0.39991454817346722"/>
      </bottom>
      <diagonal/>
    </border>
    <border>
      <left/>
      <right style="thin">
        <color indexed="18"/>
      </right>
      <top/>
      <bottom/>
      <diagonal/>
    </border>
    <border>
      <left/>
      <right/>
      <top/>
      <bottom style="thin">
        <color indexed="18"/>
      </bottom>
      <diagonal/>
    </border>
    <border>
      <left style="thin">
        <color theme="3" tint="0.39994506668294322"/>
      </left>
      <right/>
      <top style="thin">
        <color theme="3" tint="0.39994506668294322"/>
      </top>
      <bottom style="thin">
        <color theme="3" tint="0.39994506668294322"/>
      </bottom>
      <diagonal/>
    </border>
    <border>
      <left/>
      <right/>
      <top style="thin">
        <color theme="3" tint="0.39994506668294322"/>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top style="thin">
        <color theme="3" tint="0.39994506668294322"/>
      </top>
      <bottom/>
      <diagonal/>
    </border>
    <border>
      <left/>
      <right/>
      <top style="thin">
        <color theme="3" tint="0.39994506668294322"/>
      </top>
      <bottom/>
      <diagonal/>
    </border>
    <border>
      <left/>
      <right style="thin">
        <color theme="3" tint="0.39994506668294322"/>
      </right>
      <top style="thin">
        <color theme="3" tint="0.39994506668294322"/>
      </top>
      <bottom/>
      <diagonal/>
    </border>
    <border>
      <left style="thin">
        <color theme="3" tint="0.39994506668294322"/>
      </left>
      <right/>
      <top/>
      <bottom/>
      <diagonal/>
    </border>
    <border>
      <left/>
      <right style="thin">
        <color theme="3" tint="0.39994506668294322"/>
      </right>
      <top/>
      <bottom/>
      <diagonal/>
    </border>
    <border>
      <left style="thin">
        <color theme="3" tint="0.39994506668294322"/>
      </left>
      <right/>
      <top/>
      <bottom style="thin">
        <color theme="3" tint="0.39994506668294322"/>
      </bottom>
      <diagonal/>
    </border>
    <border>
      <left/>
      <right/>
      <top/>
      <bottom style="thin">
        <color theme="3" tint="0.39994506668294322"/>
      </bottom>
      <diagonal/>
    </border>
    <border>
      <left/>
      <right style="thin">
        <color theme="3" tint="0.39994506668294322"/>
      </right>
      <top/>
      <bottom style="thin">
        <color theme="3" tint="0.39994506668294322"/>
      </bottom>
      <diagonal/>
    </border>
    <border>
      <left style="thin">
        <color theme="3" tint="0.39997558519241921"/>
      </left>
      <right/>
      <top/>
      <bottom/>
      <diagonal/>
    </border>
    <border>
      <left/>
      <right style="thin">
        <color theme="3" tint="0.39997558519241921"/>
      </right>
      <top/>
      <bottom/>
      <diagonal/>
    </border>
    <border>
      <left/>
      <right/>
      <top style="thin">
        <color theme="3" tint="0.39997558519241921"/>
      </top>
      <bottom style="thin">
        <color theme="3" tint="0.39997558519241921"/>
      </bottom>
      <diagonal/>
    </border>
    <border>
      <left/>
      <right style="thin">
        <color theme="3" tint="0.39997558519241921"/>
      </right>
      <top style="thin">
        <color theme="3" tint="0.39997558519241921"/>
      </top>
      <bottom style="thin">
        <color theme="3" tint="0.39997558519241921"/>
      </bottom>
      <diagonal/>
    </border>
    <border>
      <left style="thin">
        <color theme="3" tint="0.39997558519241921"/>
      </left>
      <right/>
      <top style="thin">
        <color theme="3" tint="0.39997558519241921"/>
      </top>
      <bottom style="thin">
        <color theme="3" tint="0.39997558519241921"/>
      </bottom>
      <diagonal/>
    </border>
    <border>
      <left/>
      <right style="thin">
        <color theme="3" tint="0.39997558519241921"/>
      </right>
      <top/>
      <bottom style="thin">
        <color theme="3" tint="0.39997558519241921"/>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thin">
        <color theme="3" tint="0.39997558519241921"/>
      </left>
      <right style="thin">
        <color theme="3" tint="0.39997558519241921"/>
      </right>
      <top/>
      <bottom style="thin">
        <color theme="3" tint="0.39997558519241921"/>
      </bottom>
      <diagonal/>
    </border>
    <border>
      <left style="thin">
        <color theme="3" tint="0.39997558519241921"/>
      </left>
      <right style="thin">
        <color theme="3" tint="0.39997558519241921"/>
      </right>
      <top/>
      <bottom style="dashed">
        <color theme="3" tint="0.39997558519241921"/>
      </bottom>
      <diagonal/>
    </border>
    <border>
      <left/>
      <right/>
      <top/>
      <bottom style="thin">
        <color theme="3" tint="0.39997558519241921"/>
      </bottom>
      <diagonal/>
    </border>
    <border>
      <left style="thin">
        <color theme="3" tint="0.39997558519241921"/>
      </left>
      <right/>
      <top/>
      <bottom style="thin">
        <color theme="3" tint="0.39997558519241921"/>
      </bottom>
      <diagonal/>
    </border>
    <border>
      <left/>
      <right/>
      <top style="thin">
        <color theme="3" tint="0.39997558519241921"/>
      </top>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s>
  <cellStyleXfs count="49">
    <xf numFmtId="0" fontId="0" fillId="0" borderId="0"/>
    <xf numFmtId="0" fontId="34" fillId="2" borderId="0" applyNumberFormat="0" applyBorder="0" applyAlignment="0" applyProtection="0"/>
    <xf numFmtId="0" fontId="34" fillId="3" borderId="0" applyNumberFormat="0" applyBorder="0" applyAlignment="0" applyProtection="0"/>
    <xf numFmtId="0" fontId="34" fillId="4" borderId="0" applyNumberFormat="0" applyBorder="0" applyAlignment="0" applyProtection="0"/>
    <xf numFmtId="0" fontId="34"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4" fillId="8"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5" borderId="0" applyNumberFormat="0" applyBorder="0" applyAlignment="0" applyProtection="0"/>
    <xf numFmtId="0" fontId="34" fillId="8" borderId="0" applyNumberFormat="0" applyBorder="0" applyAlignment="0" applyProtection="0"/>
    <xf numFmtId="0" fontId="34"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0" fontId="36" fillId="3" borderId="0" applyNumberFormat="0" applyBorder="0" applyAlignment="0" applyProtection="0"/>
    <xf numFmtId="0" fontId="37" fillId="20" borderId="1" applyNumberFormat="0" applyAlignment="0" applyProtection="0"/>
    <xf numFmtId="0" fontId="38" fillId="21"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164" fontId="40" fillId="0" borderId="0" applyFont="0" applyFill="0" applyBorder="0" applyAlignment="0" applyProtection="0"/>
    <xf numFmtId="0" fontId="41" fillId="0" borderId="0" applyNumberFormat="0" applyFill="0" applyBorder="0" applyAlignment="0" applyProtection="0"/>
    <xf numFmtId="0" fontId="42" fillId="4" borderId="0" applyNumberFormat="0" applyBorder="0" applyAlignment="0" applyProtection="0"/>
    <xf numFmtId="0" fontId="43" fillId="0" borderId="3" applyNumberFormat="0" applyFill="0" applyAlignment="0" applyProtection="0"/>
    <xf numFmtId="0" fontId="44" fillId="0" borderId="4" applyNumberFormat="0" applyFill="0" applyAlignment="0" applyProtection="0"/>
    <xf numFmtId="0" fontId="45" fillId="0" borderId="5" applyNumberFormat="0" applyFill="0" applyAlignment="0" applyProtection="0"/>
    <xf numFmtId="0" fontId="45" fillId="0" borderId="0" applyNumberFormat="0" applyFill="0" applyBorder="0" applyAlignment="0" applyProtection="0"/>
    <xf numFmtId="0" fontId="7" fillId="0" borderId="0" applyNumberFormat="0" applyFill="0" applyBorder="0" applyAlignment="0" applyProtection="0">
      <alignment vertical="top"/>
      <protection locked="0"/>
    </xf>
    <xf numFmtId="0" fontId="46" fillId="7" borderId="1" applyNumberFormat="0" applyAlignment="0" applyProtection="0"/>
    <xf numFmtId="0" fontId="47" fillId="0" borderId="6" applyNumberFormat="0" applyFill="0" applyAlignment="0" applyProtection="0"/>
    <xf numFmtId="0" fontId="48" fillId="22" borderId="0" applyNumberFormat="0" applyBorder="0" applyAlignment="0" applyProtection="0"/>
    <xf numFmtId="0" fontId="39" fillId="0" borderId="0"/>
    <xf numFmtId="0" fontId="34" fillId="23" borderId="7" applyNumberFormat="0" applyFont="0" applyAlignment="0" applyProtection="0"/>
    <xf numFmtId="0" fontId="49" fillId="20" borderId="8" applyNumberFormat="0" applyAlignment="0" applyProtection="0"/>
    <xf numFmtId="9" fontId="1" fillId="0" borderId="0" applyFont="0" applyFill="0" applyBorder="0" applyAlignment="0" applyProtection="0"/>
    <xf numFmtId="0" fontId="50" fillId="0" borderId="0" applyNumberFormat="0" applyFill="0" applyBorder="0" applyAlignment="0" applyProtection="0"/>
    <xf numFmtId="0" fontId="51" fillId="0" borderId="9" applyNumberFormat="0" applyFill="0" applyAlignment="0" applyProtection="0"/>
    <xf numFmtId="0" fontId="52" fillId="0" borderId="0" applyNumberFormat="0" applyFill="0" applyBorder="0" applyAlignment="0" applyProtection="0"/>
    <xf numFmtId="0" fontId="1" fillId="0" borderId="0"/>
  </cellStyleXfs>
  <cellXfs count="394">
    <xf numFmtId="0" fontId="0" fillId="0" borderId="0" xfId="0"/>
    <xf numFmtId="0" fontId="0" fillId="24" borderId="0" xfId="0" applyFill="1" applyBorder="1"/>
    <xf numFmtId="0" fontId="10" fillId="24" borderId="0" xfId="0" applyFont="1" applyFill="1" applyProtection="1">
      <protection hidden="1"/>
    </xf>
    <xf numFmtId="10" fontId="11" fillId="24" borderId="0" xfId="0" applyNumberFormat="1" applyFont="1" applyFill="1" applyProtection="1">
      <protection hidden="1"/>
    </xf>
    <xf numFmtId="0" fontId="9" fillId="24" borderId="0" xfId="0" applyFont="1" applyFill="1" applyBorder="1"/>
    <xf numFmtId="0" fontId="10" fillId="24" borderId="0" xfId="0" applyFont="1" applyFill="1" applyBorder="1"/>
    <xf numFmtId="0" fontId="10" fillId="24" borderId="0" xfId="0" applyFont="1" applyFill="1" applyBorder="1" applyAlignment="1">
      <alignment horizontal="center"/>
    </xf>
    <xf numFmtId="0" fontId="10" fillId="24" borderId="0" xfId="0" applyFont="1" applyFill="1" applyBorder="1" applyProtection="1">
      <protection hidden="1"/>
    </xf>
    <xf numFmtId="0" fontId="10" fillId="24" borderId="0" xfId="0" applyFont="1" applyFill="1" applyBorder="1" applyAlignment="1" applyProtection="1">
      <alignment horizontal="center"/>
      <protection hidden="1"/>
    </xf>
    <xf numFmtId="0" fontId="14" fillId="24" borderId="0" xfId="0" applyFont="1" applyFill="1" applyBorder="1" applyProtection="1">
      <protection hidden="1"/>
    </xf>
    <xf numFmtId="10" fontId="15" fillId="24" borderId="0" xfId="0" applyNumberFormat="1" applyFont="1" applyFill="1" applyBorder="1" applyProtection="1">
      <protection hidden="1"/>
    </xf>
    <xf numFmtId="0" fontId="14" fillId="24" borderId="0" xfId="0" applyFont="1" applyFill="1" applyBorder="1" applyAlignment="1" applyProtection="1">
      <alignment horizontal="center"/>
      <protection hidden="1"/>
    </xf>
    <xf numFmtId="0" fontId="0" fillId="24" borderId="0" xfId="0" applyFill="1" applyBorder="1" applyProtection="1">
      <protection hidden="1"/>
    </xf>
    <xf numFmtId="10" fontId="11" fillId="24" borderId="0" xfId="0" applyNumberFormat="1" applyFont="1" applyFill="1" applyBorder="1" applyProtection="1">
      <protection hidden="1"/>
    </xf>
    <xf numFmtId="0" fontId="10" fillId="24" borderId="0" xfId="0" applyFont="1" applyFill="1" applyBorder="1" applyAlignment="1" applyProtection="1">
      <alignment horizontal="right"/>
      <protection hidden="1"/>
    </xf>
    <xf numFmtId="0" fontId="3" fillId="25" borderId="10" xfId="0" quotePrefix="1" applyFont="1" applyFill="1" applyBorder="1" applyAlignment="1" applyProtection="1">
      <alignment horizontal="left"/>
    </xf>
    <xf numFmtId="0" fontId="8" fillId="25" borderId="11" xfId="0" applyFont="1" applyFill="1" applyBorder="1" applyProtection="1"/>
    <xf numFmtId="0" fontId="0" fillId="25" borderId="11" xfId="0" applyFill="1" applyBorder="1" applyProtection="1"/>
    <xf numFmtId="0" fontId="0" fillId="25" borderId="12" xfId="0" applyFill="1" applyBorder="1" applyProtection="1"/>
    <xf numFmtId="0" fontId="0" fillId="25" borderId="0" xfId="0" applyFill="1" applyAlignment="1" applyProtection="1"/>
    <xf numFmtId="0" fontId="0" fillId="25" borderId="0" xfId="0" applyFill="1" applyProtection="1"/>
    <xf numFmtId="0" fontId="3" fillId="25" borderId="13" xfId="0" quotePrefix="1" applyFont="1" applyFill="1" applyBorder="1" applyAlignment="1" applyProtection="1">
      <alignment horizontal="left"/>
    </xf>
    <xf numFmtId="0" fontId="8" fillId="25" borderId="0" xfId="0" applyFont="1" applyFill="1" applyBorder="1" applyProtection="1"/>
    <xf numFmtId="0" fontId="0" fillId="25" borderId="0" xfId="0" applyFill="1" applyBorder="1" applyProtection="1"/>
    <xf numFmtId="0" fontId="0" fillId="25" borderId="14" xfId="0" applyFill="1" applyBorder="1" applyProtection="1"/>
    <xf numFmtId="0" fontId="0" fillId="25" borderId="13" xfId="0" applyFill="1" applyBorder="1" applyProtection="1"/>
    <xf numFmtId="0" fontId="0" fillId="25" borderId="15" xfId="0" applyFill="1" applyBorder="1" applyProtection="1"/>
    <xf numFmtId="0" fontId="0" fillId="25" borderId="16" xfId="0" applyFill="1" applyBorder="1" applyProtection="1"/>
    <xf numFmtId="0" fontId="0" fillId="25" borderId="17" xfId="0" applyFill="1" applyBorder="1" applyProtection="1"/>
    <xf numFmtId="0" fontId="0" fillId="25" borderId="18" xfId="0" applyFill="1" applyBorder="1" applyProtection="1"/>
    <xf numFmtId="0" fontId="0" fillId="25" borderId="19" xfId="0" applyFill="1" applyBorder="1" applyProtection="1"/>
    <xf numFmtId="0" fontId="0" fillId="25" borderId="20" xfId="0" applyFill="1" applyBorder="1" applyProtection="1"/>
    <xf numFmtId="0" fontId="3" fillId="25" borderId="0" xfId="0" applyFont="1" applyFill="1" applyAlignment="1" applyProtection="1">
      <alignment horizontal="left"/>
    </xf>
    <xf numFmtId="0" fontId="6" fillId="25" borderId="0" xfId="0" applyFont="1" applyFill="1" applyProtection="1"/>
    <xf numFmtId="0" fontId="2" fillId="25" borderId="0" xfId="0" applyFont="1" applyFill="1" applyProtection="1"/>
    <xf numFmtId="0" fontId="2" fillId="25" borderId="0" xfId="0" applyFont="1" applyFill="1" applyAlignment="1" applyProtection="1"/>
    <xf numFmtId="0" fontId="0" fillId="25" borderId="11" xfId="0" applyFill="1" applyBorder="1" applyAlignment="1" applyProtection="1"/>
    <xf numFmtId="0" fontId="0" fillId="25" borderId="0" xfId="0" applyFill="1" applyBorder="1" applyAlignment="1" applyProtection="1"/>
    <xf numFmtId="0" fontId="0" fillId="25" borderId="19" xfId="0" applyFill="1" applyBorder="1" applyAlignment="1" applyProtection="1"/>
    <xf numFmtId="0" fontId="0" fillId="25" borderId="16" xfId="0" applyFill="1" applyBorder="1" applyAlignment="1" applyProtection="1">
      <alignment horizontal="center"/>
    </xf>
    <xf numFmtId="0" fontId="0" fillId="25" borderId="21" xfId="0" applyFill="1" applyBorder="1" applyAlignment="1" applyProtection="1">
      <alignment horizontal="center"/>
    </xf>
    <xf numFmtId="0" fontId="0" fillId="25" borderId="17" xfId="0" applyFill="1" applyBorder="1" applyAlignment="1" applyProtection="1">
      <alignment horizontal="center"/>
    </xf>
    <xf numFmtId="0" fontId="10" fillId="24" borderId="0" xfId="0" applyFont="1" applyFill="1" applyBorder="1" applyAlignment="1" applyProtection="1">
      <protection hidden="1"/>
    </xf>
    <xf numFmtId="167" fontId="10" fillId="24" borderId="0" xfId="0" applyNumberFormat="1" applyFont="1" applyFill="1" applyBorder="1" applyAlignment="1" applyProtection="1">
      <alignment horizontal="left"/>
      <protection hidden="1"/>
    </xf>
    <xf numFmtId="0" fontId="2" fillId="25" borderId="0" xfId="0" applyFont="1" applyFill="1" applyAlignment="1" applyProtection="1">
      <alignment wrapText="1"/>
    </xf>
    <xf numFmtId="0" fontId="2" fillId="25" borderId="0" xfId="0" applyFont="1" applyFill="1" applyAlignment="1" applyProtection="1">
      <alignment horizontal="center" wrapText="1"/>
    </xf>
    <xf numFmtId="0" fontId="10" fillId="24" borderId="0" xfId="0" applyFont="1" applyFill="1" applyBorder="1" applyAlignment="1">
      <alignment horizontal="right"/>
    </xf>
    <xf numFmtId="43" fontId="10" fillId="24" borderId="0" xfId="0" applyNumberFormat="1" applyFont="1" applyFill="1" applyBorder="1" applyProtection="1">
      <protection hidden="1"/>
    </xf>
    <xf numFmtId="43" fontId="10" fillId="24" borderId="0" xfId="0" applyNumberFormat="1" applyFont="1" applyFill="1" applyBorder="1" applyAlignment="1" applyProtection="1">
      <protection hidden="1"/>
    </xf>
    <xf numFmtId="10" fontId="12" fillId="24" borderId="0" xfId="44" quotePrefix="1" applyNumberFormat="1" applyFont="1" applyFill="1" applyBorder="1" applyAlignment="1" applyProtection="1">
      <alignment horizontal="right"/>
      <protection hidden="1"/>
    </xf>
    <xf numFmtId="43" fontId="12" fillId="24" borderId="0" xfId="28" applyFont="1" applyFill="1" applyBorder="1" applyAlignment="1" applyProtection="1">
      <alignment horizontal="right"/>
      <protection hidden="1"/>
    </xf>
    <xf numFmtId="43" fontId="12" fillId="24" borderId="0" xfId="28" quotePrefix="1" applyFont="1" applyFill="1" applyBorder="1" applyAlignment="1" applyProtection="1">
      <alignment horizontal="right"/>
      <protection hidden="1"/>
    </xf>
    <xf numFmtId="43" fontId="12" fillId="24" borderId="0" xfId="28" applyFont="1" applyFill="1" applyBorder="1" applyAlignment="1" applyProtection="1">
      <protection hidden="1"/>
    </xf>
    <xf numFmtId="0" fontId="18" fillId="24" borderId="13" xfId="0" applyFont="1" applyFill="1" applyBorder="1" applyAlignment="1" applyProtection="1">
      <alignment horizontal="left"/>
    </xf>
    <xf numFmtId="0" fontId="18" fillId="24" borderId="18" xfId="0" applyFont="1" applyFill="1" applyBorder="1" applyAlignment="1" applyProtection="1">
      <alignment horizontal="left"/>
    </xf>
    <xf numFmtId="2" fontId="10" fillId="24" borderId="0" xfId="0" applyNumberFormat="1" applyFont="1" applyFill="1" applyProtection="1">
      <protection hidden="1"/>
    </xf>
    <xf numFmtId="0" fontId="24" fillId="24" borderId="0" xfId="0" applyFont="1" applyFill="1" applyBorder="1" applyProtection="1">
      <protection hidden="1"/>
    </xf>
    <xf numFmtId="0" fontId="24" fillId="24" borderId="0" xfId="0" applyFont="1" applyFill="1" applyBorder="1" applyAlignment="1" applyProtection="1">
      <alignment horizontal="center"/>
      <protection hidden="1"/>
    </xf>
    <xf numFmtId="0" fontId="26" fillId="24" borderId="13" xfId="0" applyFont="1" applyFill="1" applyBorder="1" applyAlignment="1" applyProtection="1">
      <alignment horizontal="left"/>
    </xf>
    <xf numFmtId="0" fontId="10" fillId="24" borderId="0" xfId="0" applyNumberFormat="1" applyFont="1" applyFill="1" applyProtection="1">
      <protection hidden="1"/>
    </xf>
    <xf numFmtId="0" fontId="0" fillId="25" borderId="0" xfId="0" applyNumberFormat="1" applyFill="1" applyProtection="1"/>
    <xf numFmtId="0" fontId="2" fillId="24" borderId="0" xfId="0" applyFont="1" applyFill="1" applyBorder="1" applyAlignment="1">
      <alignment horizontal="center"/>
    </xf>
    <xf numFmtId="10" fontId="0" fillId="24" borderId="15" xfId="44" applyNumberFormat="1" applyFont="1" applyFill="1" applyBorder="1" applyProtection="1"/>
    <xf numFmtId="0" fontId="0" fillId="24" borderId="22" xfId="0" quotePrefix="1" applyFill="1" applyBorder="1" applyAlignment="1" applyProtection="1">
      <alignment horizontal="left"/>
    </xf>
    <xf numFmtId="0" fontId="0" fillId="24" borderId="23" xfId="0" applyFill="1" applyBorder="1" applyAlignment="1" applyProtection="1">
      <alignment horizontal="right"/>
    </xf>
    <xf numFmtId="10" fontId="16" fillId="24" borderId="16" xfId="44" applyNumberFormat="1" applyFont="1" applyFill="1" applyBorder="1" applyProtection="1"/>
    <xf numFmtId="0" fontId="0" fillId="24" borderId="13" xfId="0" applyFill="1" applyBorder="1" applyProtection="1"/>
    <xf numFmtId="0" fontId="0" fillId="24" borderId="14" xfId="0" applyFill="1" applyBorder="1" applyAlignment="1" applyProtection="1">
      <alignment horizontal="right"/>
    </xf>
    <xf numFmtId="10" fontId="0" fillId="24" borderId="16" xfId="44" applyNumberFormat="1" applyFont="1" applyFill="1" applyBorder="1" applyProtection="1"/>
    <xf numFmtId="0" fontId="0" fillId="24" borderId="14" xfId="0" applyFill="1" applyBorder="1" applyProtection="1"/>
    <xf numFmtId="10" fontId="0" fillId="24" borderId="17" xfId="44" applyNumberFormat="1" applyFont="1" applyFill="1" applyBorder="1" applyProtection="1"/>
    <xf numFmtId="0" fontId="0" fillId="24" borderId="18" xfId="0" applyFill="1" applyBorder="1" applyProtection="1"/>
    <xf numFmtId="0" fontId="0" fillId="24" borderId="20" xfId="0" applyFill="1" applyBorder="1" applyProtection="1"/>
    <xf numFmtId="0" fontId="26" fillId="24" borderId="10" xfId="0" applyFont="1" applyFill="1" applyBorder="1" applyAlignment="1" applyProtection="1">
      <alignment horizontal="left"/>
    </xf>
    <xf numFmtId="0" fontId="0" fillId="24" borderId="12" xfId="0" applyFill="1" applyBorder="1" applyAlignment="1" applyProtection="1"/>
    <xf numFmtId="4" fontId="0" fillId="24" borderId="21" xfId="0" applyNumberFormat="1" applyFill="1" applyBorder="1" applyAlignment="1" applyProtection="1">
      <alignment horizontal="right"/>
    </xf>
    <xf numFmtId="0" fontId="0" fillId="24" borderId="14" xfId="0" applyFill="1" applyBorder="1" applyAlignment="1" applyProtection="1"/>
    <xf numFmtId="4" fontId="0" fillId="24" borderId="16" xfId="0" applyNumberFormat="1" applyFill="1" applyBorder="1" applyAlignment="1" applyProtection="1">
      <alignment horizontal="right"/>
    </xf>
    <xf numFmtId="4" fontId="16" fillId="24" borderId="16" xfId="0" applyNumberFormat="1" applyFont="1" applyFill="1" applyBorder="1" applyAlignment="1" applyProtection="1">
      <alignment horizontal="right"/>
    </xf>
    <xf numFmtId="0" fontId="0" fillId="24" borderId="20" xfId="0" applyFill="1" applyBorder="1" applyAlignment="1" applyProtection="1"/>
    <xf numFmtId="4" fontId="0" fillId="24" borderId="17" xfId="0" applyNumberFormat="1" applyFill="1" applyBorder="1" applyAlignment="1" applyProtection="1">
      <alignment horizontal="right"/>
    </xf>
    <xf numFmtId="0" fontId="29" fillId="0" borderId="15" xfId="0" applyFont="1" applyBorder="1"/>
    <xf numFmtId="0" fontId="0" fillId="25" borderId="15" xfId="0" applyFill="1" applyBorder="1" applyAlignment="1" applyProtection="1">
      <alignment horizontal="center"/>
    </xf>
    <xf numFmtId="0" fontId="0" fillId="0" borderId="15" xfId="0" applyFill="1" applyBorder="1" applyProtection="1"/>
    <xf numFmtId="167" fontId="0" fillId="0" borderId="15" xfId="0" applyNumberFormat="1" applyFill="1" applyBorder="1" applyProtection="1"/>
    <xf numFmtId="5" fontId="28" fillId="24" borderId="0" xfId="29" applyNumberFormat="1" applyFont="1" applyFill="1" applyBorder="1" applyAlignment="1" applyProtection="1">
      <alignment horizontal="center"/>
      <protection locked="0"/>
    </xf>
    <xf numFmtId="0" fontId="4" fillId="24" borderId="0" xfId="0" applyFont="1" applyFill="1" applyBorder="1" applyAlignment="1">
      <alignment horizontal="right"/>
    </xf>
    <xf numFmtId="168" fontId="14" fillId="24" borderId="0" xfId="29" applyNumberFormat="1" applyFont="1" applyFill="1" applyBorder="1" applyAlignment="1" applyProtection="1">
      <alignment horizontal="right"/>
      <protection hidden="1"/>
    </xf>
    <xf numFmtId="0" fontId="32" fillId="24" borderId="0" xfId="0" applyFont="1" applyFill="1" applyProtection="1">
      <protection hidden="1"/>
    </xf>
    <xf numFmtId="0" fontId="0" fillId="0" borderId="0" xfId="0" applyBorder="1" applyAlignment="1">
      <alignment horizontal="justify" vertical="center" wrapText="1"/>
    </xf>
    <xf numFmtId="0" fontId="31" fillId="0" borderId="0" xfId="0" applyFont="1" applyFill="1" applyBorder="1" applyAlignment="1">
      <alignment horizontal="center" vertical="top"/>
    </xf>
    <xf numFmtId="0" fontId="0" fillId="0" borderId="0" xfId="0" applyFill="1" applyBorder="1" applyAlignment="1">
      <alignment horizontal="right"/>
    </xf>
    <xf numFmtId="0" fontId="0" fillId="0" borderId="0" xfId="0" applyFill="1" applyBorder="1" applyAlignment="1">
      <alignment vertical="center" wrapText="1"/>
    </xf>
    <xf numFmtId="0" fontId="0" fillId="0" borderId="0" xfId="0" applyFill="1" applyBorder="1"/>
    <xf numFmtId="0" fontId="17" fillId="0" borderId="0" xfId="37" applyFont="1" applyFill="1" applyBorder="1" applyAlignment="1" applyProtection="1">
      <alignment horizontal="left"/>
    </xf>
    <xf numFmtId="0" fontId="21" fillId="0" borderId="0" xfId="0" applyFont="1" applyFill="1" applyBorder="1"/>
    <xf numFmtId="0" fontId="17" fillId="0" borderId="0" xfId="37" applyFont="1" applyFill="1" applyBorder="1" applyAlignment="1" applyProtection="1"/>
    <xf numFmtId="0" fontId="7" fillId="0" borderId="0" xfId="37" applyFill="1" applyBorder="1" applyAlignment="1" applyProtection="1"/>
    <xf numFmtId="0" fontId="30" fillId="0" borderId="0" xfId="0" applyFont="1" applyFill="1" applyBorder="1" applyAlignment="1">
      <alignment horizontal="center" vertical="center" wrapText="1"/>
    </xf>
    <xf numFmtId="0" fontId="2" fillId="0" borderId="0" xfId="0" applyFont="1" applyFill="1" applyBorder="1" applyAlignment="1">
      <alignment horizontal="left"/>
    </xf>
    <xf numFmtId="0" fontId="0" fillId="0" borderId="0" xfId="0" applyBorder="1"/>
    <xf numFmtId="0" fontId="23" fillId="0" borderId="0" xfId="0" applyFont="1" applyFill="1" applyBorder="1"/>
    <xf numFmtId="0" fontId="19" fillId="0" borderId="0" xfId="0" applyFont="1" applyFill="1" applyBorder="1" applyAlignment="1"/>
    <xf numFmtId="0" fontId="18" fillId="0" borderId="0" xfId="0" applyFont="1" applyBorder="1" applyAlignment="1">
      <alignment horizontal="justify" wrapText="1"/>
    </xf>
    <xf numFmtId="0" fontId="30" fillId="0" borderId="0" xfId="0" applyFont="1" applyFill="1" applyAlignment="1">
      <alignment horizontal="center" vertical="center" wrapText="1"/>
    </xf>
    <xf numFmtId="0" fontId="14" fillId="24" borderId="0" xfId="0" applyFont="1" applyFill="1" applyProtection="1">
      <protection hidden="1"/>
    </xf>
    <xf numFmtId="0" fontId="27" fillId="0" borderId="15" xfId="0" applyFont="1" applyFill="1" applyBorder="1" applyAlignment="1" applyProtection="1">
      <alignment horizontal="left" vertical="top"/>
    </xf>
    <xf numFmtId="43" fontId="10" fillId="24" borderId="0" xfId="0" applyNumberFormat="1" applyFont="1" applyFill="1" applyProtection="1">
      <protection hidden="1"/>
    </xf>
    <xf numFmtId="44" fontId="25" fillId="24" borderId="0" xfId="29" applyFont="1" applyFill="1" applyBorder="1" applyAlignment="1" applyProtection="1">
      <protection hidden="1"/>
    </xf>
    <xf numFmtId="0" fontId="57" fillId="24" borderId="0" xfId="0" applyFont="1" applyFill="1" applyBorder="1" applyAlignment="1" applyProtection="1">
      <protection hidden="1"/>
    </xf>
    <xf numFmtId="0" fontId="2" fillId="24" borderId="0" xfId="0" applyFont="1" applyFill="1" applyBorder="1" applyAlignment="1" applyProtection="1">
      <alignment vertical="center"/>
      <protection hidden="1"/>
    </xf>
    <xf numFmtId="0" fontId="12" fillId="24" borderId="0" xfId="0" applyFont="1" applyFill="1" applyProtection="1">
      <protection hidden="1"/>
    </xf>
    <xf numFmtId="0" fontId="2" fillId="24" borderId="0" xfId="0" applyFont="1" applyFill="1" applyBorder="1" applyAlignment="1" applyProtection="1">
      <alignment vertical="top"/>
    </xf>
    <xf numFmtId="0" fontId="2" fillId="24" borderId="0" xfId="0" applyFont="1" applyFill="1" applyBorder="1" applyAlignment="1" applyProtection="1">
      <alignment vertical="top"/>
      <protection hidden="1"/>
    </xf>
    <xf numFmtId="0" fontId="11" fillId="24" borderId="0" xfId="0" applyNumberFormat="1" applyFont="1" applyFill="1" applyProtection="1">
      <protection hidden="1"/>
    </xf>
    <xf numFmtId="0" fontId="24" fillId="0" borderId="0" xfId="0" applyFont="1" applyFill="1" applyBorder="1"/>
    <xf numFmtId="0" fontId="24" fillId="0" borderId="0" xfId="0" applyFont="1" applyFill="1" applyBorder="1" applyAlignment="1">
      <alignment vertical="center"/>
    </xf>
    <xf numFmtId="0" fontId="1" fillId="0" borderId="0" xfId="0" applyFont="1" applyFill="1" applyBorder="1"/>
    <xf numFmtId="167" fontId="56" fillId="24" borderId="0" xfId="0" applyNumberFormat="1" applyFont="1" applyFill="1" applyBorder="1" applyAlignment="1">
      <alignment horizontal="right" vertical="top"/>
    </xf>
    <xf numFmtId="166" fontId="10" fillId="24" borderId="0" xfId="0" applyNumberFormat="1" applyFont="1" applyFill="1" applyBorder="1" applyProtection="1">
      <protection hidden="1"/>
    </xf>
    <xf numFmtId="5" fontId="10" fillId="24" borderId="0" xfId="0" applyNumberFormat="1" applyFont="1" applyFill="1" applyBorder="1" applyProtection="1">
      <protection hidden="1"/>
    </xf>
    <xf numFmtId="9" fontId="10" fillId="24" borderId="0" xfId="44" applyFont="1" applyFill="1" applyBorder="1" applyProtection="1">
      <protection hidden="1"/>
    </xf>
    <xf numFmtId="7" fontId="10" fillId="24" borderId="0" xfId="0" applyNumberFormat="1" applyFont="1" applyFill="1" applyBorder="1" applyProtection="1">
      <protection hidden="1"/>
    </xf>
    <xf numFmtId="0" fontId="68" fillId="24" borderId="0" xfId="0" applyFont="1" applyFill="1" applyBorder="1" applyProtection="1">
      <protection hidden="1"/>
    </xf>
    <xf numFmtId="0" fontId="68" fillId="24" borderId="0" xfId="0" applyFont="1" applyFill="1" applyBorder="1" applyAlignment="1" applyProtection="1">
      <alignment horizontal="right"/>
      <protection hidden="1"/>
    </xf>
    <xf numFmtId="10" fontId="10" fillId="24" borderId="0" xfId="44" applyNumberFormat="1" applyFont="1" applyFill="1" applyBorder="1" applyProtection="1">
      <protection hidden="1"/>
    </xf>
    <xf numFmtId="165" fontId="10" fillId="24" borderId="0" xfId="28" applyNumberFormat="1" applyFont="1" applyFill="1" applyBorder="1" applyAlignment="1" applyProtection="1">
      <alignment horizontal="center"/>
      <protection hidden="1"/>
    </xf>
    <xf numFmtId="0" fontId="68" fillId="24" borderId="42" xfId="0" applyFont="1" applyFill="1" applyBorder="1" applyProtection="1">
      <protection hidden="1"/>
    </xf>
    <xf numFmtId="43" fontId="70" fillId="24" borderId="0" xfId="28" applyFont="1" applyFill="1" applyBorder="1" applyProtection="1">
      <protection hidden="1"/>
    </xf>
    <xf numFmtId="0" fontId="71" fillId="0" borderId="11" xfId="37" applyFont="1" applyFill="1" applyBorder="1" applyAlignment="1" applyProtection="1"/>
    <xf numFmtId="0" fontId="71" fillId="0" borderId="12" xfId="37" applyFont="1" applyFill="1" applyBorder="1" applyAlignment="1" applyProtection="1"/>
    <xf numFmtId="0" fontId="5" fillId="0" borderId="22" xfId="41" applyFont="1" applyFill="1" applyBorder="1" applyAlignment="1">
      <alignment vertical="top" wrapText="1"/>
    </xf>
    <xf numFmtId="0" fontId="5" fillId="26" borderId="15" xfId="41" applyFont="1" applyFill="1" applyBorder="1" applyAlignment="1">
      <alignment vertical="top" wrapText="1"/>
    </xf>
    <xf numFmtId="0" fontId="5" fillId="26" borderId="22" xfId="41" applyFont="1" applyFill="1" applyBorder="1" applyAlignment="1">
      <alignment vertical="top" wrapText="1"/>
    </xf>
    <xf numFmtId="0" fontId="2" fillId="26" borderId="24" xfId="41" applyFont="1" applyFill="1" applyBorder="1" applyAlignment="1">
      <alignment horizontal="center" vertical="center" wrapText="1"/>
    </xf>
    <xf numFmtId="0" fontId="2" fillId="26" borderId="25" xfId="41" applyFont="1" applyFill="1" applyBorder="1" applyAlignment="1">
      <alignment horizontal="center" vertical="center" wrapText="1"/>
    </xf>
    <xf numFmtId="0" fontId="2" fillId="26" borderId="26" xfId="41" applyFont="1" applyFill="1" applyBorder="1" applyAlignment="1">
      <alignment horizontal="center" vertical="center" wrapText="1"/>
    </xf>
    <xf numFmtId="0" fontId="5" fillId="26" borderId="21" xfId="41" applyFont="1" applyFill="1" applyBorder="1" applyAlignment="1">
      <alignment vertical="top" wrapText="1"/>
    </xf>
    <xf numFmtId="0" fontId="29" fillId="26" borderId="27" xfId="41" applyFont="1" applyFill="1" applyBorder="1" applyAlignment="1">
      <alignment vertical="center"/>
    </xf>
    <xf numFmtId="0" fontId="29" fillId="26" borderId="30" xfId="41" applyFont="1" applyFill="1" applyBorder="1" applyAlignment="1">
      <alignment vertical="center"/>
    </xf>
    <xf numFmtId="0" fontId="29" fillId="26" borderId="30" xfId="41" applyFont="1" applyFill="1" applyBorder="1"/>
    <xf numFmtId="0" fontId="29" fillId="26" borderId="34" xfId="41" applyFont="1" applyFill="1" applyBorder="1"/>
    <xf numFmtId="2" fontId="29" fillId="0" borderId="31" xfId="44" applyNumberFormat="1" applyFont="1" applyFill="1" applyBorder="1" applyAlignment="1">
      <alignment horizontal="right"/>
    </xf>
    <xf numFmtId="2" fontId="29" fillId="0" borderId="32" xfId="44" applyNumberFormat="1" applyFont="1" applyFill="1" applyBorder="1" applyAlignment="1">
      <alignment horizontal="right"/>
    </xf>
    <xf numFmtId="2" fontId="29" fillId="0" borderId="33" xfId="44" applyNumberFormat="1" applyFont="1" applyFill="1" applyBorder="1" applyAlignment="1">
      <alignment horizontal="right"/>
    </xf>
    <xf numFmtId="2" fontId="29" fillId="0" borderId="35" xfId="44" applyNumberFormat="1" applyFont="1" applyFill="1" applyBorder="1" applyAlignment="1">
      <alignment horizontal="right"/>
    </xf>
    <xf numFmtId="2" fontId="29" fillId="0" borderId="36" xfId="44" applyNumberFormat="1" applyFont="1" applyFill="1" applyBorder="1" applyAlignment="1">
      <alignment horizontal="right"/>
    </xf>
    <xf numFmtId="2" fontId="29" fillId="0" borderId="37" xfId="44" applyNumberFormat="1" applyFont="1" applyFill="1" applyBorder="1" applyAlignment="1">
      <alignment horizontal="right"/>
    </xf>
    <xf numFmtId="0" fontId="27" fillId="0" borderId="22" xfId="41" applyFont="1" applyFill="1" applyBorder="1" applyAlignment="1">
      <alignment horizontal="right" vertical="center" wrapText="1"/>
    </xf>
    <xf numFmtId="0" fontId="27" fillId="0" borderId="42" xfId="41" applyFont="1" applyFill="1" applyBorder="1" applyAlignment="1">
      <alignment horizontal="right" vertical="center" wrapText="1"/>
    </xf>
    <xf numFmtId="0" fontId="27" fillId="0" borderId="23" xfId="41" applyFont="1" applyFill="1" applyBorder="1" applyAlignment="1">
      <alignment horizontal="right" vertical="center" wrapText="1"/>
    </xf>
    <xf numFmtId="0" fontId="2" fillId="25" borderId="0" xfId="0" applyFont="1" applyFill="1" applyAlignment="1" applyProtection="1">
      <alignment horizontal="right"/>
    </xf>
    <xf numFmtId="0" fontId="68" fillId="24" borderId="0" xfId="0" applyFont="1" applyFill="1" applyAlignment="1" applyProtection="1">
      <alignment horizontal="center"/>
      <protection hidden="1"/>
    </xf>
    <xf numFmtId="0" fontId="70" fillId="24" borderId="0" xfId="0" applyFont="1" applyFill="1" applyBorder="1" applyProtection="1">
      <protection hidden="1"/>
    </xf>
    <xf numFmtId="0" fontId="65" fillId="28" borderId="22" xfId="41" applyFont="1" applyFill="1" applyBorder="1" applyAlignment="1">
      <alignment vertical="top" wrapText="1"/>
    </xf>
    <xf numFmtId="0" fontId="72" fillId="28" borderId="15" xfId="0" applyFont="1" applyFill="1" applyBorder="1" applyAlignment="1" applyProtection="1">
      <alignment horizontal="left" vertical="top"/>
    </xf>
    <xf numFmtId="0" fontId="72" fillId="28" borderId="22" xfId="41" applyFont="1" applyFill="1" applyBorder="1" applyAlignment="1">
      <alignment horizontal="right" vertical="center" wrapText="1"/>
    </xf>
    <xf numFmtId="0" fontId="72" fillId="28" borderId="42" xfId="41" applyFont="1" applyFill="1" applyBorder="1" applyAlignment="1">
      <alignment horizontal="right" vertical="center" wrapText="1"/>
    </xf>
    <xf numFmtId="0" fontId="72" fillId="28" borderId="10" xfId="41" applyFont="1" applyFill="1" applyBorder="1" applyAlignment="1">
      <alignment horizontal="right" vertical="center" wrapText="1"/>
    </xf>
    <xf numFmtId="0" fontId="72" fillId="28" borderId="11" xfId="41" applyFont="1" applyFill="1" applyBorder="1" applyAlignment="1">
      <alignment horizontal="right" vertical="center" wrapText="1"/>
    </xf>
    <xf numFmtId="0" fontId="72" fillId="28" borderId="12" xfId="41" applyFont="1" applyFill="1" applyBorder="1" applyAlignment="1">
      <alignment horizontal="right" vertical="center" wrapText="1"/>
    </xf>
    <xf numFmtId="0" fontId="10" fillId="24" borderId="42" xfId="0" applyFont="1" applyFill="1" applyBorder="1" applyAlignment="1" applyProtection="1">
      <alignment horizontal="right"/>
      <protection hidden="1"/>
    </xf>
    <xf numFmtId="0" fontId="73" fillId="24" borderId="0" xfId="0" applyFont="1" applyFill="1" applyBorder="1" applyProtection="1">
      <protection hidden="1"/>
    </xf>
    <xf numFmtId="0" fontId="0" fillId="24" borderId="52" xfId="0" applyFill="1" applyBorder="1" applyAlignment="1" applyProtection="1">
      <alignment horizontal="center"/>
      <protection hidden="1"/>
    </xf>
    <xf numFmtId="14" fontId="10" fillId="24" borderId="15" xfId="0" applyNumberFormat="1" applyFont="1" applyFill="1" applyBorder="1" applyProtection="1">
      <protection hidden="1"/>
    </xf>
    <xf numFmtId="0" fontId="10" fillId="24" borderId="15" xfId="0" applyFont="1" applyFill="1" applyBorder="1" applyProtection="1">
      <protection hidden="1"/>
    </xf>
    <xf numFmtId="0" fontId="2" fillId="26" borderId="15" xfId="0" applyFont="1" applyFill="1" applyBorder="1" applyProtection="1">
      <protection hidden="1"/>
    </xf>
    <xf numFmtId="0" fontId="12" fillId="26" borderId="15" xfId="0" applyFont="1" applyFill="1" applyBorder="1" applyProtection="1">
      <protection hidden="1"/>
    </xf>
    <xf numFmtId="0" fontId="68" fillId="26" borderId="0" xfId="0" applyFont="1" applyFill="1" applyBorder="1" applyProtection="1">
      <protection hidden="1"/>
    </xf>
    <xf numFmtId="166" fontId="68" fillId="26" borderId="42" xfId="0" applyNumberFormat="1" applyFont="1" applyFill="1" applyBorder="1" applyProtection="1">
      <protection hidden="1"/>
    </xf>
    <xf numFmtId="0" fontId="68" fillId="26" borderId="42" xfId="0" applyFont="1" applyFill="1" applyBorder="1" applyProtection="1">
      <protection hidden="1"/>
    </xf>
    <xf numFmtId="0" fontId="68" fillId="26" borderId="0" xfId="0" applyFont="1" applyFill="1" applyBorder="1" applyAlignment="1" applyProtection="1">
      <alignment horizontal="right"/>
      <protection hidden="1"/>
    </xf>
    <xf numFmtId="5" fontId="68" fillId="26" borderId="42" xfId="0" applyNumberFormat="1" applyFont="1" applyFill="1" applyBorder="1" applyProtection="1">
      <protection hidden="1"/>
    </xf>
    <xf numFmtId="7" fontId="68" fillId="26" borderId="42" xfId="0" applyNumberFormat="1" applyFont="1" applyFill="1" applyBorder="1" applyProtection="1">
      <protection hidden="1"/>
    </xf>
    <xf numFmtId="0" fontId="68" fillId="26" borderId="15" xfId="0" applyFont="1" applyFill="1" applyBorder="1" applyProtection="1">
      <protection hidden="1"/>
    </xf>
    <xf numFmtId="0" fontId="74" fillId="26" borderId="15" xfId="0" applyFont="1" applyFill="1" applyBorder="1" applyProtection="1">
      <protection hidden="1"/>
    </xf>
    <xf numFmtId="0" fontId="10" fillId="24" borderId="22" xfId="0" applyFont="1" applyFill="1" applyBorder="1" applyProtection="1">
      <protection hidden="1"/>
    </xf>
    <xf numFmtId="169" fontId="10" fillId="24" borderId="23" xfId="0" applyNumberFormat="1" applyFont="1" applyFill="1" applyBorder="1" applyAlignment="1" applyProtection="1">
      <alignment horizontal="right"/>
      <protection hidden="1"/>
    </xf>
    <xf numFmtId="5" fontId="10" fillId="24" borderId="23" xfId="0" applyNumberFormat="1" applyFont="1" applyFill="1" applyBorder="1" applyAlignment="1" applyProtection="1">
      <alignment horizontal="right"/>
      <protection hidden="1"/>
    </xf>
    <xf numFmtId="10" fontId="10" fillId="24" borderId="23" xfId="44" applyNumberFormat="1" applyFont="1" applyFill="1" applyBorder="1" applyAlignment="1" applyProtection="1">
      <alignment horizontal="right"/>
      <protection hidden="1"/>
    </xf>
    <xf numFmtId="0" fontId="10" fillId="24" borderId="23" xfId="0" applyFont="1" applyFill="1" applyBorder="1" applyAlignment="1" applyProtection="1">
      <alignment horizontal="right"/>
      <protection hidden="1"/>
    </xf>
    <xf numFmtId="0" fontId="68" fillId="26" borderId="22" xfId="0" applyFont="1" applyFill="1" applyBorder="1" applyProtection="1">
      <protection hidden="1"/>
    </xf>
    <xf numFmtId="0" fontId="68" fillId="26" borderId="23" xfId="0" applyFont="1" applyFill="1" applyBorder="1" applyProtection="1">
      <protection hidden="1"/>
    </xf>
    <xf numFmtId="43" fontId="70" fillId="24" borderId="0" xfId="28" applyFont="1" applyFill="1" applyBorder="1" applyAlignment="1" applyProtection="1">
      <alignment horizontal="right"/>
      <protection hidden="1"/>
    </xf>
    <xf numFmtId="0" fontId="69" fillId="26" borderId="42" xfId="0" applyFont="1" applyFill="1" applyBorder="1" applyProtection="1">
      <protection hidden="1"/>
    </xf>
    <xf numFmtId="0" fontId="10" fillId="26" borderId="42" xfId="0" applyFont="1" applyFill="1" applyBorder="1" applyProtection="1">
      <protection hidden="1"/>
    </xf>
    <xf numFmtId="0" fontId="68" fillId="26" borderId="42" xfId="0" applyFont="1" applyFill="1" applyBorder="1" applyAlignment="1" applyProtection="1">
      <alignment horizontal="right"/>
      <protection hidden="1"/>
    </xf>
    <xf numFmtId="169" fontId="68" fillId="26" borderId="42" xfId="0" applyNumberFormat="1" applyFont="1" applyFill="1" applyBorder="1" applyProtection="1">
      <protection hidden="1"/>
    </xf>
    <xf numFmtId="169" fontId="68" fillId="26" borderId="42" xfId="0" applyNumberFormat="1" applyFont="1" applyFill="1" applyBorder="1" applyAlignment="1" applyProtection="1">
      <alignment horizontal="right"/>
      <protection hidden="1"/>
    </xf>
    <xf numFmtId="0" fontId="10" fillId="26" borderId="0" xfId="0" applyFont="1" applyFill="1" applyBorder="1" applyProtection="1">
      <protection hidden="1"/>
    </xf>
    <xf numFmtId="0" fontId="30" fillId="0" borderId="0" xfId="0" applyFont="1" applyFill="1" applyAlignment="1">
      <alignment horizontal="center" vertical="center" wrapText="1"/>
    </xf>
    <xf numFmtId="0" fontId="13" fillId="24" borderId="0" xfId="0" applyFont="1" applyFill="1" applyBorder="1" applyAlignment="1" applyProtection="1">
      <alignment horizontal="center"/>
      <protection hidden="1"/>
    </xf>
    <xf numFmtId="0" fontId="20" fillId="24" borderId="0" xfId="0" applyFont="1" applyFill="1" applyBorder="1" applyAlignment="1" applyProtection="1">
      <alignment horizontal="right"/>
      <protection hidden="1"/>
    </xf>
    <xf numFmtId="165" fontId="25" fillId="24" borderId="0" xfId="28" applyNumberFormat="1" applyFont="1" applyFill="1" applyBorder="1" applyAlignment="1" applyProtection="1">
      <alignment horizontal="center"/>
      <protection hidden="1"/>
    </xf>
    <xf numFmtId="0" fontId="75" fillId="0" borderId="0" xfId="0" applyFont="1" applyFill="1" applyBorder="1" applyAlignment="1">
      <alignment horizontal="right" vertical="top" wrapText="1"/>
    </xf>
    <xf numFmtId="0" fontId="76" fillId="0" borderId="0" xfId="0" applyFont="1" applyBorder="1" applyAlignment="1">
      <alignment horizontal="right" vertical="top" wrapText="1"/>
    </xf>
    <xf numFmtId="170" fontId="75" fillId="0" borderId="0" xfId="0" applyNumberFormat="1" applyFont="1" applyFill="1" applyBorder="1" applyAlignment="1">
      <alignment horizontal="left" vertical="top" wrapText="1"/>
    </xf>
    <xf numFmtId="170" fontId="76" fillId="0" borderId="0" xfId="0" applyNumberFormat="1" applyFont="1" applyBorder="1" applyAlignment="1">
      <alignment horizontal="left" vertical="top" wrapText="1"/>
    </xf>
    <xf numFmtId="167" fontId="1" fillId="0" borderId="15" xfId="0" applyNumberFormat="1" applyFont="1" applyFill="1" applyBorder="1" applyProtection="1"/>
    <xf numFmtId="0" fontId="10" fillId="24" borderId="0" xfId="0" applyFont="1" applyFill="1" applyBorder="1" applyAlignment="1" applyProtection="1">
      <alignment shrinkToFit="1"/>
      <protection hidden="1"/>
    </xf>
    <xf numFmtId="0" fontId="68" fillId="26" borderId="0" xfId="0" applyFont="1" applyFill="1" applyBorder="1" applyAlignment="1" applyProtection="1">
      <alignment shrinkToFit="1"/>
      <protection hidden="1"/>
    </xf>
    <xf numFmtId="171" fontId="10" fillId="24" borderId="0" xfId="44" applyNumberFormat="1" applyFont="1" applyFill="1" applyBorder="1" applyAlignment="1" applyProtection="1">
      <alignment horizontal="right"/>
      <protection hidden="1"/>
    </xf>
    <xf numFmtId="172" fontId="70" fillId="24" borderId="0" xfId="28" applyNumberFormat="1" applyFont="1" applyFill="1" applyBorder="1" applyAlignment="1" applyProtection="1">
      <alignment horizontal="right"/>
      <protection hidden="1"/>
    </xf>
    <xf numFmtId="2" fontId="68" fillId="26" borderId="42" xfId="0" applyNumberFormat="1" applyFont="1" applyFill="1" applyBorder="1" applyAlignment="1" applyProtection="1">
      <alignment horizontal="right"/>
      <protection hidden="1"/>
    </xf>
    <xf numFmtId="0" fontId="29" fillId="29" borderId="15" xfId="0" applyFont="1" applyFill="1" applyBorder="1"/>
    <xf numFmtId="4" fontId="16" fillId="29" borderId="16" xfId="0" applyNumberFormat="1" applyFont="1" applyFill="1" applyBorder="1" applyAlignment="1" applyProtection="1">
      <alignment horizontal="right"/>
    </xf>
    <xf numFmtId="43" fontId="0" fillId="25" borderId="0" xfId="28" applyFont="1" applyFill="1" applyProtection="1"/>
    <xf numFmtId="169" fontId="29" fillId="29" borderId="15" xfId="0" applyNumberFormat="1" applyFont="1" applyFill="1" applyBorder="1" applyProtection="1"/>
    <xf numFmtId="10" fontId="68" fillId="26" borderId="0" xfId="0" applyNumberFormat="1" applyFont="1" applyFill="1" applyBorder="1" applyProtection="1">
      <protection hidden="1"/>
    </xf>
    <xf numFmtId="10" fontId="29" fillId="29" borderId="15" xfId="0" applyNumberFormat="1" applyFont="1" applyFill="1" applyBorder="1" applyProtection="1"/>
    <xf numFmtId="173" fontId="10" fillId="24" borderId="0" xfId="28" applyNumberFormat="1" applyFont="1" applyFill="1" applyBorder="1" applyAlignment="1" applyProtection="1">
      <alignment horizontal="right"/>
      <protection hidden="1"/>
    </xf>
    <xf numFmtId="173" fontId="70" fillId="24" borderId="0" xfId="28" applyNumberFormat="1" applyFont="1" applyFill="1" applyBorder="1" applyAlignment="1" applyProtection="1">
      <alignment horizontal="right"/>
      <protection hidden="1"/>
    </xf>
    <xf numFmtId="2" fontId="29" fillId="29" borderId="31" xfId="44" applyNumberFormat="1" applyFont="1" applyFill="1" applyBorder="1"/>
    <xf numFmtId="2" fontId="29" fillId="29" borderId="32" xfId="44" applyNumberFormat="1" applyFont="1" applyFill="1" applyBorder="1"/>
    <xf numFmtId="2" fontId="29" fillId="29" borderId="31" xfId="44" applyNumberFormat="1" applyFont="1" applyFill="1" applyBorder="1" applyAlignment="1">
      <alignment horizontal="right"/>
    </xf>
    <xf numFmtId="2" fontId="29" fillId="29" borderId="32" xfId="44" applyNumberFormat="1" applyFont="1" applyFill="1" applyBorder="1" applyAlignment="1">
      <alignment horizontal="right"/>
    </xf>
    <xf numFmtId="2" fontId="29" fillId="29" borderId="55" xfId="30" applyNumberFormat="1" applyFont="1" applyFill="1" applyBorder="1"/>
    <xf numFmtId="2" fontId="29" fillId="29" borderId="56" xfId="30" applyNumberFormat="1" applyFont="1" applyFill="1" applyBorder="1"/>
    <xf numFmtId="2" fontId="29" fillId="29" borderId="31" xfId="30" applyNumberFormat="1" applyFont="1" applyFill="1" applyBorder="1"/>
    <xf numFmtId="2" fontId="29" fillId="29" borderId="32" xfId="30" applyNumberFormat="1" applyFont="1" applyFill="1" applyBorder="1"/>
    <xf numFmtId="0" fontId="68" fillId="26" borderId="42" xfId="0" applyFont="1" applyFill="1" applyBorder="1" applyAlignment="1" applyProtection="1">
      <alignment horizontal="right" shrinkToFit="1"/>
      <protection hidden="1"/>
    </xf>
    <xf numFmtId="0" fontId="53" fillId="24" borderId="41" xfId="0" applyFont="1" applyFill="1" applyBorder="1" applyAlignment="1" applyProtection="1">
      <alignment horizontal="left"/>
      <protection locked="0" hidden="1"/>
    </xf>
    <xf numFmtId="0" fontId="56" fillId="30" borderId="0" xfId="0" applyFont="1" applyFill="1" applyBorder="1" applyProtection="1">
      <protection hidden="1"/>
    </xf>
    <xf numFmtId="0" fontId="57" fillId="30" borderId="0" xfId="0" applyFont="1" applyFill="1" applyBorder="1" applyAlignment="1" applyProtection="1">
      <protection hidden="1"/>
    </xf>
    <xf numFmtId="0" fontId="58" fillId="30" borderId="0" xfId="0" applyFont="1" applyFill="1" applyBorder="1" applyProtection="1">
      <protection hidden="1"/>
    </xf>
    <xf numFmtId="0" fontId="57" fillId="30" borderId="0" xfId="0" applyFont="1" applyFill="1" applyBorder="1" applyProtection="1">
      <protection hidden="1"/>
    </xf>
    <xf numFmtId="0" fontId="10" fillId="30" borderId="0" xfId="0" applyFont="1" applyFill="1" applyProtection="1">
      <protection hidden="1"/>
    </xf>
    <xf numFmtId="0" fontId="10" fillId="30" borderId="0" xfId="0" applyFont="1" applyFill="1" applyBorder="1"/>
    <xf numFmtId="0" fontId="56" fillId="30" borderId="0" xfId="0" applyFont="1" applyFill="1" applyBorder="1" applyAlignment="1">
      <alignment horizontal="right" vertical="top" wrapText="1"/>
    </xf>
    <xf numFmtId="0" fontId="77" fillId="30" borderId="0" xfId="0" applyFont="1" applyFill="1" applyBorder="1" applyAlignment="1" applyProtection="1">
      <protection hidden="1"/>
    </xf>
    <xf numFmtId="0" fontId="62" fillId="30" borderId="0" xfId="0" applyFont="1" applyFill="1" applyBorder="1" applyProtection="1">
      <protection hidden="1"/>
    </xf>
    <xf numFmtId="0" fontId="2" fillId="30" borderId="0" xfId="0" applyFont="1" applyFill="1" applyBorder="1" applyAlignment="1" applyProtection="1">
      <alignment vertical="center"/>
      <protection hidden="1"/>
    </xf>
    <xf numFmtId="0" fontId="54" fillId="30" borderId="52" xfId="0" applyFont="1" applyFill="1" applyBorder="1" applyAlignment="1" applyProtection="1">
      <alignment horizontal="left"/>
      <protection hidden="1"/>
    </xf>
    <xf numFmtId="0" fontId="20" fillId="30" borderId="0" xfId="0" applyFont="1" applyFill="1" applyBorder="1" applyAlignment="1" applyProtection="1">
      <alignment horizontal="right"/>
      <protection hidden="1"/>
    </xf>
    <xf numFmtId="0" fontId="73" fillId="30" borderId="0" xfId="0" applyFont="1" applyFill="1" applyProtection="1">
      <protection hidden="1"/>
    </xf>
    <xf numFmtId="44" fontId="25" fillId="30" borderId="0" xfId="29" applyFont="1" applyFill="1" applyBorder="1" applyAlignment="1" applyProtection="1">
      <protection hidden="1"/>
    </xf>
    <xf numFmtId="0" fontId="25" fillId="30" borderId="52" xfId="0" applyFont="1" applyFill="1" applyBorder="1" applyAlignment="1" applyProtection="1">
      <alignment horizontal="left"/>
      <protection hidden="1"/>
    </xf>
    <xf numFmtId="0" fontId="2" fillId="30" borderId="0" xfId="0" applyFont="1" applyFill="1" applyBorder="1" applyAlignment="1" applyProtection="1">
      <alignment vertical="top"/>
      <protection hidden="1"/>
    </xf>
    <xf numFmtId="0" fontId="2" fillId="30" borderId="0" xfId="0" applyFont="1" applyFill="1"/>
    <xf numFmtId="0" fontId="0" fillId="30" borderId="0" xfId="0" applyFill="1" applyBorder="1"/>
    <xf numFmtId="0" fontId="53" fillId="24" borderId="50" xfId="0" applyFont="1" applyFill="1" applyBorder="1" applyAlignment="1" applyProtection="1">
      <alignment horizontal="left"/>
      <protection locked="0" hidden="1"/>
    </xf>
    <xf numFmtId="5" fontId="59" fillId="24" borderId="57" xfId="29" applyNumberFormat="1" applyFont="1" applyFill="1" applyBorder="1" applyAlignment="1" applyProtection="1">
      <alignment horizontal="center"/>
      <protection locked="0"/>
    </xf>
    <xf numFmtId="0" fontId="5" fillId="24" borderId="0" xfId="0" applyFont="1" applyFill="1" applyBorder="1" applyAlignment="1" applyProtection="1">
      <alignment horizontal="center"/>
      <protection hidden="1"/>
    </xf>
    <xf numFmtId="0" fontId="54" fillId="30" borderId="0" xfId="0" applyFont="1" applyFill="1" applyBorder="1" applyAlignment="1" applyProtection="1">
      <alignment horizontal="left"/>
      <protection hidden="1"/>
    </xf>
    <xf numFmtId="44" fontId="61" fillId="30" borderId="0" xfId="29" applyFont="1" applyFill="1" applyBorder="1" applyAlignment="1" applyProtection="1">
      <alignment horizontal="left"/>
      <protection hidden="1"/>
    </xf>
    <xf numFmtId="0" fontId="0" fillId="24" borderId="0" xfId="0" applyFill="1" applyBorder="1" applyAlignment="1">
      <alignment horizontal="center"/>
    </xf>
    <xf numFmtId="0" fontId="10" fillId="30" borderId="0" xfId="0" applyFont="1" applyFill="1" applyBorder="1" applyProtection="1">
      <protection hidden="1"/>
    </xf>
    <xf numFmtId="43" fontId="29" fillId="30" borderId="77" xfId="28" applyFont="1" applyFill="1" applyBorder="1" applyAlignment="1" applyProtection="1">
      <alignment horizontal="right"/>
      <protection hidden="1"/>
    </xf>
    <xf numFmtId="43" fontId="29" fillId="30" borderId="78" xfId="0" applyNumberFormat="1" applyFont="1" applyFill="1" applyBorder="1" applyAlignment="1" applyProtection="1">
      <alignment horizontal="right"/>
      <protection hidden="1"/>
    </xf>
    <xf numFmtId="44" fontId="29" fillId="30" borderId="79" xfId="29" applyFont="1" applyFill="1" applyBorder="1" applyAlignment="1" applyProtection="1">
      <alignment horizontal="right"/>
      <protection hidden="1"/>
    </xf>
    <xf numFmtId="43" fontId="29" fillId="30" borderId="79" xfId="28" quotePrefix="1" applyFont="1" applyFill="1" applyBorder="1" applyAlignment="1" applyProtection="1">
      <alignment horizontal="right"/>
      <protection hidden="1"/>
    </xf>
    <xf numFmtId="43" fontId="29" fillId="30" borderId="80" xfId="0" applyNumberFormat="1" applyFont="1" applyFill="1" applyBorder="1" applyAlignment="1" applyProtection="1">
      <alignment horizontal="right"/>
      <protection hidden="1"/>
    </xf>
    <xf numFmtId="0" fontId="10" fillId="30" borderId="81" xfId="0" applyFont="1" applyFill="1" applyBorder="1" applyProtection="1">
      <protection hidden="1"/>
    </xf>
    <xf numFmtId="0" fontId="57" fillId="30" borderId="81" xfId="0" applyFont="1" applyFill="1" applyBorder="1" applyProtection="1">
      <protection hidden="1"/>
    </xf>
    <xf numFmtId="44" fontId="55" fillId="30" borderId="76" xfId="29" applyFont="1" applyFill="1" applyBorder="1" applyProtection="1">
      <protection hidden="1"/>
    </xf>
    <xf numFmtId="0" fontId="10" fillId="24" borderId="81" xfId="0" applyFont="1" applyFill="1" applyBorder="1" applyProtection="1">
      <protection hidden="1"/>
    </xf>
    <xf numFmtId="0" fontId="10" fillId="24" borderId="83" xfId="0" applyFont="1" applyFill="1" applyBorder="1" applyProtection="1">
      <protection hidden="1"/>
    </xf>
    <xf numFmtId="0" fontId="10" fillId="24" borderId="83" xfId="0" applyFont="1" applyFill="1" applyBorder="1" applyAlignment="1" applyProtection="1">
      <alignment horizontal="center"/>
      <protection hidden="1"/>
    </xf>
    <xf numFmtId="0" fontId="10" fillId="24" borderId="81" xfId="0" applyFont="1" applyFill="1" applyBorder="1" applyAlignment="1" applyProtection="1">
      <alignment horizontal="center"/>
      <protection hidden="1"/>
    </xf>
    <xf numFmtId="0" fontId="29" fillId="30" borderId="71" xfId="0" applyFont="1" applyFill="1" applyBorder="1" applyProtection="1">
      <protection hidden="1"/>
    </xf>
    <xf numFmtId="165" fontId="80" fillId="30" borderId="0" xfId="28" applyNumberFormat="1" applyFont="1" applyFill="1" applyBorder="1" applyProtection="1">
      <protection hidden="1"/>
    </xf>
    <xf numFmtId="10" fontId="29" fillId="30" borderId="0" xfId="44" quotePrefix="1" applyNumberFormat="1" applyFont="1" applyFill="1" applyBorder="1" applyAlignment="1" applyProtection="1">
      <alignment horizontal="right"/>
      <protection hidden="1"/>
    </xf>
    <xf numFmtId="0" fontId="29" fillId="30" borderId="71" xfId="0" applyFont="1" applyFill="1" applyBorder="1" applyAlignment="1" applyProtection="1">
      <protection hidden="1"/>
    </xf>
    <xf numFmtId="0" fontId="29" fillId="30" borderId="0" xfId="0" applyFont="1" applyFill="1" applyBorder="1" applyAlignment="1" applyProtection="1">
      <protection hidden="1"/>
    </xf>
    <xf numFmtId="0" fontId="29" fillId="30" borderId="0" xfId="0" applyFont="1" applyFill="1" applyBorder="1" applyProtection="1">
      <protection hidden="1"/>
    </xf>
    <xf numFmtId="0" fontId="29" fillId="30" borderId="71" xfId="0" applyFont="1" applyFill="1" applyBorder="1" applyAlignment="1" applyProtection="1">
      <alignment horizontal="left"/>
      <protection hidden="1"/>
    </xf>
    <xf numFmtId="0" fontId="30" fillId="30" borderId="71" xfId="0" applyFont="1" applyFill="1" applyBorder="1" applyProtection="1">
      <protection hidden="1"/>
    </xf>
    <xf numFmtId="0" fontId="10" fillId="30" borderId="0" xfId="0" quotePrefix="1" applyFont="1" applyFill="1" applyBorder="1" applyProtection="1">
      <protection hidden="1"/>
    </xf>
    <xf numFmtId="0" fontId="10" fillId="30" borderId="72" xfId="0" applyFont="1" applyFill="1" applyBorder="1" applyAlignment="1" applyProtection="1">
      <alignment horizontal="center"/>
      <protection hidden="1"/>
    </xf>
    <xf numFmtId="0" fontId="1" fillId="30" borderId="0" xfId="0" applyFont="1" applyFill="1" applyBorder="1" applyProtection="1">
      <protection hidden="1"/>
    </xf>
    <xf numFmtId="0" fontId="5" fillId="30" borderId="0" xfId="0" applyFont="1" applyFill="1" applyBorder="1" applyProtection="1">
      <protection hidden="1"/>
    </xf>
    <xf numFmtId="0" fontId="1" fillId="30" borderId="72" xfId="0" applyFont="1" applyFill="1" applyBorder="1" applyProtection="1">
      <protection hidden="1"/>
    </xf>
    <xf numFmtId="0" fontId="4" fillId="30" borderId="72" xfId="0" applyFont="1" applyFill="1" applyBorder="1" applyProtection="1">
      <protection hidden="1"/>
    </xf>
    <xf numFmtId="43" fontId="29" fillId="30" borderId="72" xfId="0" applyNumberFormat="1" applyFont="1" applyFill="1" applyBorder="1" applyAlignment="1" applyProtection="1">
      <alignment horizontal="right"/>
      <protection hidden="1"/>
    </xf>
    <xf numFmtId="0" fontId="29" fillId="30" borderId="0" xfId="0" quotePrefix="1" applyFont="1" applyFill="1" applyBorder="1" applyAlignment="1" applyProtection="1">
      <alignment horizontal="left"/>
      <protection hidden="1"/>
    </xf>
    <xf numFmtId="0" fontId="30" fillId="30" borderId="0" xfId="0" applyFont="1" applyFill="1" applyBorder="1" applyProtection="1">
      <protection hidden="1"/>
    </xf>
    <xf numFmtId="44" fontId="30" fillId="30" borderId="72" xfId="29" applyFont="1" applyFill="1" applyBorder="1" applyAlignment="1" applyProtection="1">
      <protection hidden="1"/>
    </xf>
    <xf numFmtId="0" fontId="30" fillId="0" borderId="71" xfId="0" applyFont="1" applyFill="1" applyBorder="1" applyProtection="1">
      <protection hidden="1"/>
    </xf>
    <xf numFmtId="0" fontId="29" fillId="0" borderId="0" xfId="0" applyFont="1" applyFill="1" applyBorder="1" applyProtection="1">
      <protection hidden="1"/>
    </xf>
    <xf numFmtId="0" fontId="30" fillId="0" borderId="0" xfId="0" applyFont="1" applyFill="1" applyBorder="1" applyProtection="1">
      <protection hidden="1"/>
    </xf>
    <xf numFmtId="0" fontId="29" fillId="0" borderId="72" xfId="0" applyFont="1" applyFill="1" applyBorder="1" applyProtection="1">
      <protection hidden="1"/>
    </xf>
    <xf numFmtId="0" fontId="29" fillId="0" borderId="71" xfId="0" applyFont="1" applyFill="1" applyBorder="1" applyProtection="1">
      <protection hidden="1"/>
    </xf>
    <xf numFmtId="44" fontId="29" fillId="0" borderId="0" xfId="29" applyFont="1" applyFill="1" applyBorder="1" applyAlignment="1" applyProtection="1">
      <alignment horizontal="right"/>
      <protection hidden="1"/>
    </xf>
    <xf numFmtId="43" fontId="29" fillId="0" borderId="72" xfId="0" applyNumberFormat="1" applyFont="1" applyFill="1" applyBorder="1" applyAlignment="1" applyProtection="1">
      <alignment horizontal="right"/>
      <protection hidden="1"/>
    </xf>
    <xf numFmtId="0" fontId="29" fillId="0" borderId="71" xfId="0" applyFont="1" applyFill="1" applyBorder="1" applyAlignment="1" applyProtection="1">
      <alignment horizontal="left"/>
      <protection hidden="1"/>
    </xf>
    <xf numFmtId="44" fontId="29" fillId="0" borderId="0" xfId="29" applyNumberFormat="1" applyFont="1" applyFill="1" applyBorder="1" applyAlignment="1" applyProtection="1">
      <alignment horizontal="right"/>
      <protection hidden="1"/>
    </xf>
    <xf numFmtId="0" fontId="29" fillId="0" borderId="0" xfId="0" quotePrefix="1" applyFont="1" applyFill="1" applyBorder="1" applyAlignment="1" applyProtection="1">
      <alignment horizontal="left"/>
      <protection hidden="1"/>
    </xf>
    <xf numFmtId="0" fontId="29" fillId="0" borderId="82" xfId="0" applyFont="1" applyFill="1" applyBorder="1" applyAlignment="1" applyProtection="1">
      <alignment horizontal="left"/>
      <protection hidden="1"/>
    </xf>
    <xf numFmtId="0" fontId="29" fillId="0" borderId="81" xfId="0" applyFont="1" applyFill="1" applyBorder="1" applyProtection="1">
      <protection hidden="1"/>
    </xf>
    <xf numFmtId="44" fontId="29" fillId="0" borderId="81" xfId="29" applyFont="1" applyFill="1" applyBorder="1" applyAlignment="1" applyProtection="1">
      <alignment horizontal="right"/>
      <protection hidden="1"/>
    </xf>
    <xf numFmtId="0" fontId="29" fillId="0" borderId="81" xfId="0" quotePrefix="1" applyFont="1" applyFill="1" applyBorder="1" applyAlignment="1" applyProtection="1">
      <alignment horizontal="left"/>
      <protection hidden="1"/>
    </xf>
    <xf numFmtId="43" fontId="29" fillId="0" borderId="76" xfId="0" applyNumberFormat="1" applyFont="1" applyFill="1" applyBorder="1" applyAlignment="1" applyProtection="1">
      <alignment horizontal="right"/>
      <protection hidden="1"/>
    </xf>
    <xf numFmtId="0" fontId="81" fillId="31" borderId="75" xfId="0" applyFont="1" applyFill="1" applyBorder="1" applyAlignment="1" applyProtection="1">
      <alignment horizontal="left"/>
      <protection hidden="1"/>
    </xf>
    <xf numFmtId="0" fontId="81" fillId="31" borderId="73" xfId="0" applyFont="1" applyFill="1" applyBorder="1" applyAlignment="1" applyProtection="1">
      <alignment horizontal="left"/>
      <protection hidden="1"/>
    </xf>
    <xf numFmtId="0" fontId="81" fillId="31" borderId="74" xfId="0" applyFont="1" applyFill="1" applyBorder="1" applyAlignment="1" applyProtection="1">
      <alignment horizontal="left"/>
      <protection hidden="1"/>
    </xf>
    <xf numFmtId="0" fontId="81" fillId="31" borderId="71" xfId="0" applyFont="1" applyFill="1" applyBorder="1" applyAlignment="1" applyProtection="1">
      <alignment horizontal="left"/>
      <protection hidden="1"/>
    </xf>
    <xf numFmtId="0" fontId="75" fillId="31" borderId="0" xfId="0" applyFont="1" applyFill="1" applyBorder="1" applyAlignment="1" applyProtection="1">
      <alignment horizontal="right"/>
      <protection hidden="1"/>
    </xf>
    <xf numFmtId="44" fontId="75" fillId="31" borderId="0" xfId="29" applyFont="1" applyFill="1" applyBorder="1" applyAlignment="1" applyProtection="1">
      <alignment horizontal="center"/>
      <protection hidden="1"/>
    </xf>
    <xf numFmtId="0" fontId="75" fillId="31" borderId="0" xfId="0" applyFont="1" applyFill="1" applyBorder="1" applyAlignment="1" applyProtection="1">
      <alignment horizontal="left"/>
      <protection hidden="1"/>
    </xf>
    <xf numFmtId="44" fontId="75" fillId="31" borderId="72" xfId="29" applyFont="1" applyFill="1" applyBorder="1" applyProtection="1">
      <protection hidden="1"/>
    </xf>
    <xf numFmtId="0" fontId="81" fillId="31" borderId="82" xfId="0" applyFont="1" applyFill="1" applyBorder="1" applyAlignment="1" applyProtection="1">
      <alignment horizontal="left"/>
      <protection hidden="1"/>
    </xf>
    <xf numFmtId="0" fontId="75" fillId="31" borderId="81" xfId="0" applyFont="1" applyFill="1" applyBorder="1" applyAlignment="1" applyProtection="1">
      <alignment horizontal="right"/>
      <protection hidden="1"/>
    </xf>
    <xf numFmtId="10" fontId="75" fillId="31" borderId="81" xfId="29" applyNumberFormat="1" applyFont="1" applyFill="1" applyBorder="1" applyAlignment="1" applyProtection="1">
      <alignment horizontal="right"/>
      <protection hidden="1"/>
    </xf>
    <xf numFmtId="0" fontId="75" fillId="31" borderId="81" xfId="0" applyFont="1" applyFill="1" applyBorder="1" applyAlignment="1" applyProtection="1">
      <alignment horizontal="left"/>
      <protection hidden="1"/>
    </xf>
    <xf numFmtId="44" fontId="75" fillId="31" borderId="76" xfId="29" applyFont="1" applyFill="1" applyBorder="1" applyProtection="1">
      <protection hidden="1"/>
    </xf>
    <xf numFmtId="0" fontId="82" fillId="31" borderId="75" xfId="0" applyFont="1" applyFill="1" applyBorder="1" applyProtection="1">
      <protection hidden="1"/>
    </xf>
    <xf numFmtId="0" fontId="83" fillId="31" borderId="73" xfId="0" applyFont="1" applyFill="1" applyBorder="1" applyProtection="1">
      <protection hidden="1"/>
    </xf>
    <xf numFmtId="43" fontId="82" fillId="31" borderId="73" xfId="0" applyNumberFormat="1" applyFont="1" applyFill="1" applyBorder="1" applyAlignment="1" applyProtection="1">
      <alignment horizontal="right"/>
      <protection hidden="1"/>
    </xf>
    <xf numFmtId="0" fontId="82" fillId="31" borderId="73" xfId="0" applyFont="1" applyFill="1" applyBorder="1" applyProtection="1">
      <protection hidden="1"/>
    </xf>
    <xf numFmtId="10" fontId="68" fillId="26" borderId="42" xfId="0" applyNumberFormat="1" applyFont="1" applyFill="1" applyBorder="1" applyProtection="1">
      <protection hidden="1"/>
    </xf>
    <xf numFmtId="43" fontId="29" fillId="30" borderId="76" xfId="0" applyNumberFormat="1" applyFont="1" applyFill="1" applyBorder="1" applyAlignment="1" applyProtection="1">
      <alignment horizontal="right"/>
      <protection hidden="1"/>
    </xf>
    <xf numFmtId="0" fontId="1" fillId="24" borderId="13" xfId="0" applyFont="1" applyFill="1" applyBorder="1" applyProtection="1"/>
    <xf numFmtId="0" fontId="1" fillId="0" borderId="0" xfId="0" applyFont="1" applyAlignment="1">
      <alignment vertical="center"/>
    </xf>
    <xf numFmtId="2" fontId="29" fillId="29" borderId="28" xfId="30" applyNumberFormat="1" applyFont="1" applyFill="1" applyBorder="1"/>
    <xf numFmtId="2" fontId="29" fillId="29" borderId="29" xfId="30" applyNumberFormat="1" applyFont="1" applyFill="1" applyBorder="1"/>
    <xf numFmtId="0" fontId="72" fillId="28" borderId="22" xfId="0" applyFont="1" applyFill="1" applyBorder="1" applyAlignment="1" applyProtection="1">
      <alignment horizontal="left" vertical="top"/>
    </xf>
    <xf numFmtId="2" fontId="29" fillId="0" borderId="84" xfId="44" applyNumberFormat="1" applyFont="1" applyFill="1" applyBorder="1" applyAlignment="1">
      <alignment horizontal="right"/>
    </xf>
    <xf numFmtId="2" fontId="29" fillId="0" borderId="85" xfId="44" applyNumberFormat="1" applyFont="1" applyFill="1" applyBorder="1" applyAlignment="1">
      <alignment horizontal="right"/>
    </xf>
    <xf numFmtId="2" fontId="29" fillId="0" borderId="86" xfId="44" applyNumberFormat="1" applyFont="1" applyFill="1" applyBorder="1" applyAlignment="1">
      <alignment horizontal="right"/>
    </xf>
    <xf numFmtId="2" fontId="29" fillId="0" borderId="55" xfId="44" applyNumberFormat="1" applyFont="1" applyFill="1" applyBorder="1" applyAlignment="1">
      <alignment horizontal="right"/>
    </xf>
    <xf numFmtId="2" fontId="29" fillId="0" borderId="56" xfId="44" applyNumberFormat="1" applyFont="1" applyFill="1" applyBorder="1" applyAlignment="1">
      <alignment horizontal="right"/>
    </xf>
    <xf numFmtId="2" fontId="1" fillId="29" borderId="32" xfId="0" applyNumberFormat="1" applyFont="1" applyFill="1" applyBorder="1" applyAlignment="1">
      <alignment horizontal="right"/>
    </xf>
    <xf numFmtId="2" fontId="1" fillId="29" borderId="32" xfId="48" applyNumberFormat="1" applyFont="1" applyFill="1" applyBorder="1" applyAlignment="1">
      <alignment horizontal="right" vertical="center" wrapText="1"/>
    </xf>
    <xf numFmtId="174" fontId="82" fillId="31" borderId="73" xfId="0" applyNumberFormat="1" applyFont="1" applyFill="1" applyBorder="1" applyAlignment="1" applyProtection="1">
      <alignment horizontal="left"/>
      <protection hidden="1"/>
    </xf>
    <xf numFmtId="174" fontId="82" fillId="31" borderId="74" xfId="0" applyNumberFormat="1" applyFont="1" applyFill="1" applyBorder="1" applyAlignment="1" applyProtection="1">
      <alignment horizontal="left"/>
      <protection hidden="1"/>
    </xf>
    <xf numFmtId="0" fontId="22" fillId="0" borderId="0" xfId="0" applyFont="1" applyFill="1" applyBorder="1" applyAlignment="1">
      <alignment horizontal="center" vertical="center" wrapText="1"/>
    </xf>
    <xf numFmtId="0" fontId="17" fillId="0" borderId="0" xfId="37" applyFont="1" applyFill="1" applyBorder="1" applyAlignment="1" applyProtection="1">
      <alignment horizontal="left"/>
    </xf>
    <xf numFmtId="0" fontId="2" fillId="0" borderId="38" xfId="0" applyFont="1" applyFill="1" applyBorder="1" applyAlignment="1">
      <alignment horizontal="left"/>
    </xf>
    <xf numFmtId="0" fontId="2" fillId="0" borderId="39" xfId="0" applyFont="1" applyFill="1" applyBorder="1" applyAlignment="1">
      <alignment horizontal="left"/>
    </xf>
    <xf numFmtId="0" fontId="2" fillId="0" borderId="43" xfId="0" applyFont="1" applyFill="1" applyBorder="1" applyAlignment="1">
      <alignment horizontal="left"/>
    </xf>
    <xf numFmtId="0" fontId="63" fillId="0" borderId="44" xfId="0" applyFont="1" applyFill="1" applyBorder="1" applyAlignment="1">
      <alignment horizontal="center" vertical="top" shrinkToFit="1"/>
    </xf>
    <xf numFmtId="0" fontId="63" fillId="0" borderId="0" xfId="0" applyFont="1" applyFill="1" applyBorder="1" applyAlignment="1">
      <alignment horizontal="center" vertical="top" shrinkToFit="1"/>
    </xf>
    <xf numFmtId="0" fontId="63" fillId="0" borderId="40" xfId="0" applyFont="1" applyFill="1" applyBorder="1" applyAlignment="1">
      <alignment horizontal="center" vertical="top" shrinkToFit="1"/>
    </xf>
    <xf numFmtId="0" fontId="63" fillId="0" borderId="45" xfId="0" applyFont="1" applyFill="1" applyBorder="1" applyAlignment="1">
      <alignment horizontal="center" vertical="top" shrinkToFit="1"/>
    </xf>
    <xf numFmtId="0" fontId="63" fillId="0" borderId="46" xfId="0" applyFont="1" applyFill="1" applyBorder="1" applyAlignment="1">
      <alignment horizontal="center" vertical="top" shrinkToFit="1"/>
    </xf>
    <xf numFmtId="0" fontId="63" fillId="0" borderId="47" xfId="0" applyFont="1" applyFill="1" applyBorder="1" applyAlignment="1">
      <alignment horizontal="center" vertical="top" shrinkToFit="1"/>
    </xf>
    <xf numFmtId="0" fontId="75" fillId="0" borderId="0" xfId="0" applyFont="1" applyFill="1" applyBorder="1" applyAlignment="1">
      <alignment horizontal="center"/>
    </xf>
    <xf numFmtId="0" fontId="75" fillId="0" borderId="0" xfId="0" applyFont="1" applyFill="1" applyBorder="1" applyAlignment="1">
      <alignment horizontal="right" vertical="top" wrapText="1"/>
    </xf>
    <xf numFmtId="0" fontId="76" fillId="0" borderId="0" xfId="0" applyFont="1" applyBorder="1" applyAlignment="1">
      <alignment horizontal="right" vertical="top" wrapText="1"/>
    </xf>
    <xf numFmtId="170" fontId="75" fillId="0" borderId="0" xfId="0" applyNumberFormat="1" applyFont="1" applyFill="1" applyBorder="1" applyAlignment="1">
      <alignment horizontal="left" vertical="top" wrapText="1"/>
    </xf>
    <xf numFmtId="170" fontId="76" fillId="0" borderId="0" xfId="0" applyNumberFormat="1" applyFont="1" applyBorder="1" applyAlignment="1">
      <alignment horizontal="left" vertical="top" wrapText="1"/>
    </xf>
    <xf numFmtId="0" fontId="13" fillId="24" borderId="0" xfId="0" applyFont="1" applyFill="1" applyBorder="1" applyAlignment="1" applyProtection="1">
      <alignment horizontal="center"/>
      <protection hidden="1"/>
    </xf>
    <xf numFmtId="165" fontId="0" fillId="24" borderId="0" xfId="28" applyNumberFormat="1" applyFont="1" applyFill="1" applyBorder="1" applyAlignment="1">
      <alignment horizontal="center"/>
    </xf>
    <xf numFmtId="0" fontId="30" fillId="30" borderId="71" xfId="0" applyFont="1" applyFill="1" applyBorder="1" applyAlignment="1" applyProtection="1">
      <alignment horizontal="left"/>
      <protection hidden="1"/>
    </xf>
    <xf numFmtId="0" fontId="30" fillId="30" borderId="0" xfId="0" applyFont="1" applyFill="1" applyBorder="1" applyAlignment="1" applyProtection="1">
      <alignment horizontal="left"/>
      <protection hidden="1"/>
    </xf>
    <xf numFmtId="0" fontId="58" fillId="0" borderId="50" xfId="0" applyFont="1" applyBorder="1" applyAlignment="1" applyProtection="1">
      <alignment horizontal="left"/>
      <protection locked="0" hidden="1"/>
    </xf>
    <xf numFmtId="0" fontId="58" fillId="0" borderId="51" xfId="0" applyFont="1" applyBorder="1" applyAlignment="1" applyProtection="1">
      <alignment horizontal="left"/>
      <protection locked="0" hidden="1"/>
    </xf>
    <xf numFmtId="0" fontId="75" fillId="31" borderId="0" xfId="0" applyFont="1" applyFill="1" applyBorder="1" applyAlignment="1" applyProtection="1">
      <alignment horizontal="left"/>
      <protection hidden="1"/>
    </xf>
    <xf numFmtId="0" fontId="76" fillId="31" borderId="0" xfId="0" applyFont="1" applyFill="1" applyBorder="1" applyAlignment="1">
      <alignment horizontal="left"/>
    </xf>
    <xf numFmtId="0" fontId="75" fillId="31" borderId="81" xfId="0" applyFont="1" applyFill="1" applyBorder="1" applyAlignment="1" applyProtection="1">
      <alignment horizontal="left"/>
      <protection hidden="1"/>
    </xf>
    <xf numFmtId="0" fontId="76" fillId="31" borderId="81" xfId="0" applyFont="1" applyFill="1" applyBorder="1" applyAlignment="1">
      <alignment horizontal="left"/>
    </xf>
    <xf numFmtId="0" fontId="64" fillId="27" borderId="42" xfId="0" applyFont="1" applyFill="1" applyBorder="1" applyAlignment="1" applyProtection="1">
      <alignment horizontal="right"/>
      <protection hidden="1"/>
    </xf>
    <xf numFmtId="0" fontId="64" fillId="27" borderId="23" xfId="0" applyFont="1" applyFill="1" applyBorder="1" applyAlignment="1" applyProtection="1">
      <alignment horizontal="right"/>
      <protection hidden="1"/>
    </xf>
    <xf numFmtId="0" fontId="10" fillId="0" borderId="0" xfId="0" applyFont="1" applyFill="1" applyBorder="1" applyAlignment="1" applyProtection="1">
      <alignment horizontal="center" vertical="top" wrapText="1"/>
      <protection hidden="1"/>
    </xf>
    <xf numFmtId="0" fontId="84" fillId="30" borderId="82" xfId="0" applyFont="1" applyFill="1" applyBorder="1" applyAlignment="1" applyProtection="1">
      <alignment horizontal="left"/>
      <protection hidden="1"/>
    </xf>
    <xf numFmtId="0" fontId="84" fillId="30" borderId="81" xfId="0" applyFont="1" applyFill="1" applyBorder="1" applyAlignment="1" applyProtection="1">
      <alignment horizontal="left"/>
      <protection hidden="1"/>
    </xf>
    <xf numFmtId="166" fontId="59" fillId="24" borderId="60" xfId="0" applyNumberFormat="1" applyFont="1" applyFill="1" applyBorder="1" applyAlignment="1" applyProtection="1">
      <alignment horizontal="center"/>
      <protection locked="0"/>
    </xf>
    <xf numFmtId="166" fontId="59" fillId="24" borderId="62" xfId="0" applyNumberFormat="1" applyFont="1" applyFill="1" applyBorder="1" applyAlignment="1" applyProtection="1">
      <alignment horizontal="center"/>
      <protection locked="0"/>
    </xf>
    <xf numFmtId="0" fontId="58" fillId="24" borderId="52" xfId="0" applyFont="1" applyFill="1" applyBorder="1" applyAlignment="1" applyProtection="1">
      <alignment horizontal="left"/>
      <protection locked="0" hidden="1"/>
    </xf>
    <xf numFmtId="0" fontId="58" fillId="24" borderId="58" xfId="0" applyFont="1" applyFill="1" applyBorder="1" applyAlignment="1" applyProtection="1">
      <alignment horizontal="left"/>
      <protection locked="0" hidden="1"/>
    </xf>
    <xf numFmtId="0" fontId="65" fillId="27" borderId="22" xfId="0" applyFont="1" applyFill="1" applyBorder="1" applyAlignment="1">
      <alignment horizontal="center"/>
    </xf>
    <xf numFmtId="0" fontId="65" fillId="27" borderId="42" xfId="0" applyFont="1" applyFill="1" applyBorder="1" applyAlignment="1">
      <alignment horizontal="center"/>
    </xf>
    <xf numFmtId="0" fontId="59" fillId="30" borderId="60" xfId="0" applyFont="1" applyFill="1" applyBorder="1" applyAlignment="1" applyProtection="1">
      <alignment horizontal="left" shrinkToFit="1"/>
      <protection locked="0"/>
    </xf>
    <xf numFmtId="0" fontId="59" fillId="30" borderId="61" xfId="0" applyFont="1" applyFill="1" applyBorder="1" applyAlignment="1" applyProtection="1">
      <alignment horizontal="left" shrinkToFit="1"/>
      <protection locked="0"/>
    </xf>
    <xf numFmtId="0" fontId="59" fillId="30" borderId="62" xfId="0" applyFont="1" applyFill="1" applyBorder="1" applyAlignment="1" applyProtection="1">
      <alignment horizontal="left" shrinkToFit="1"/>
      <protection locked="0"/>
    </xf>
    <xf numFmtId="0" fontId="60" fillId="24" borderId="48" xfId="0" applyFont="1" applyFill="1" applyBorder="1" applyAlignment="1" applyProtection="1">
      <alignment horizontal="left"/>
      <protection locked="0" hidden="1"/>
    </xf>
    <xf numFmtId="0" fontId="60" fillId="24" borderId="49" xfId="0" applyFont="1" applyFill="1" applyBorder="1" applyAlignment="1" applyProtection="1">
      <alignment horizontal="left"/>
      <protection locked="0" hidden="1"/>
    </xf>
    <xf numFmtId="166" fontId="59" fillId="24" borderId="60" xfId="0" applyNumberFormat="1" applyFont="1" applyFill="1" applyBorder="1" applyAlignment="1" applyProtection="1">
      <alignment horizontal="center"/>
      <protection locked="0" hidden="1"/>
    </xf>
    <xf numFmtId="166" fontId="59" fillId="24" borderId="62" xfId="0" applyNumberFormat="1" applyFont="1" applyFill="1" applyBorder="1" applyAlignment="1" applyProtection="1">
      <alignment horizontal="center"/>
      <protection locked="0" hidden="1"/>
    </xf>
    <xf numFmtId="0" fontId="60" fillId="24" borderId="53" xfId="0" applyFont="1" applyFill="1" applyBorder="1" applyAlignment="1" applyProtection="1">
      <alignment horizontal="left"/>
      <protection locked="0" hidden="1"/>
    </xf>
    <xf numFmtId="0" fontId="60" fillId="24" borderId="54" xfId="0" applyFont="1" applyFill="1" applyBorder="1" applyAlignment="1" applyProtection="1">
      <alignment horizontal="left"/>
      <protection locked="0" hidden="1"/>
    </xf>
    <xf numFmtId="0" fontId="59" fillId="24" borderId="60" xfId="28" applyNumberFormat="1" applyFont="1" applyFill="1" applyBorder="1" applyAlignment="1" applyProtection="1">
      <alignment horizontal="left"/>
      <protection locked="0"/>
    </xf>
    <xf numFmtId="0" fontId="59" fillId="24" borderId="62" xfId="28" applyNumberFormat="1" applyFont="1" applyFill="1" applyBorder="1" applyAlignment="1" applyProtection="1">
      <alignment horizontal="left"/>
      <protection locked="0"/>
    </xf>
    <xf numFmtId="0" fontId="18" fillId="30" borderId="0" xfId="0" applyFont="1" applyFill="1" applyBorder="1" applyAlignment="1">
      <alignment horizontal="left"/>
    </xf>
    <xf numFmtId="0" fontId="54" fillId="30" borderId="0" xfId="0" applyFont="1" applyFill="1" applyAlignment="1" applyProtection="1">
      <alignment horizontal="left"/>
      <protection hidden="1"/>
    </xf>
    <xf numFmtId="0" fontId="66" fillId="31" borderId="63" xfId="0" applyFont="1" applyFill="1" applyBorder="1" applyAlignment="1" applyProtection="1">
      <alignment horizontal="center" vertical="center" wrapText="1"/>
      <protection hidden="1"/>
    </xf>
    <xf numFmtId="0" fontId="66" fillId="31" borderId="64" xfId="0" applyFont="1" applyFill="1" applyBorder="1" applyAlignment="1" applyProtection="1">
      <alignment horizontal="center" vertical="center" wrapText="1"/>
      <protection hidden="1"/>
    </xf>
    <xf numFmtId="0" fontId="66" fillId="31" borderId="65" xfId="0" applyFont="1" applyFill="1" applyBorder="1" applyAlignment="1" applyProtection="1">
      <alignment horizontal="center" vertical="center" wrapText="1"/>
      <protection hidden="1"/>
    </xf>
    <xf numFmtId="0" fontId="66" fillId="31" borderId="66" xfId="0" applyFont="1" applyFill="1" applyBorder="1" applyAlignment="1" applyProtection="1">
      <alignment horizontal="center" vertical="center" wrapText="1"/>
      <protection hidden="1"/>
    </xf>
    <xf numFmtId="0" fontId="66" fillId="31" borderId="0" xfId="0" applyFont="1" applyFill="1" applyBorder="1" applyAlignment="1" applyProtection="1">
      <alignment horizontal="center" vertical="center" wrapText="1"/>
      <protection hidden="1"/>
    </xf>
    <xf numFmtId="0" fontId="66" fillId="31" borderId="67" xfId="0" applyFont="1" applyFill="1" applyBorder="1" applyAlignment="1" applyProtection="1">
      <alignment horizontal="center" vertical="center" wrapText="1"/>
      <protection hidden="1"/>
    </xf>
    <xf numFmtId="0" fontId="66" fillId="31" borderId="68" xfId="0" applyFont="1" applyFill="1" applyBorder="1" applyAlignment="1" applyProtection="1">
      <alignment horizontal="center" vertical="center" wrapText="1"/>
      <protection hidden="1"/>
    </xf>
    <xf numFmtId="0" fontId="66" fillId="31" borderId="69" xfId="0" applyFont="1" applyFill="1" applyBorder="1" applyAlignment="1" applyProtection="1">
      <alignment horizontal="center" vertical="center" wrapText="1"/>
      <protection hidden="1"/>
    </xf>
    <xf numFmtId="0" fontId="66" fillId="31" borderId="70" xfId="0" applyFont="1" applyFill="1" applyBorder="1" applyAlignment="1" applyProtection="1">
      <alignment horizontal="center" vertical="center" wrapText="1"/>
      <protection hidden="1"/>
    </xf>
    <xf numFmtId="0" fontId="10" fillId="24" borderId="59" xfId="0" applyFont="1" applyFill="1" applyBorder="1" applyAlignment="1" applyProtection="1">
      <alignment horizontal="center"/>
      <protection locked="0" hidden="1"/>
    </xf>
    <xf numFmtId="2" fontId="30" fillId="0" borderId="18" xfId="41" applyNumberFormat="1" applyFont="1" applyFill="1" applyBorder="1" applyAlignment="1">
      <alignment horizontal="center"/>
    </xf>
    <xf numFmtId="2" fontId="30" fillId="0" borderId="19" xfId="41" applyNumberFormat="1" applyFont="1" applyFill="1" applyBorder="1" applyAlignment="1">
      <alignment horizontal="center"/>
    </xf>
    <xf numFmtId="2" fontId="30" fillId="0" borderId="20" xfId="41" applyNumberFormat="1" applyFont="1" applyFill="1" applyBorder="1" applyAlignment="1">
      <alignment horizontal="center"/>
    </xf>
    <xf numFmtId="0" fontId="1" fillId="0" borderId="22" xfId="0" applyFont="1" applyFill="1" applyBorder="1" applyAlignment="1" applyProtection="1"/>
    <xf numFmtId="0" fontId="0" fillId="0" borderId="42" xfId="0" applyFill="1" applyBorder="1" applyAlignment="1"/>
    <xf numFmtId="0" fontId="0" fillId="0" borderId="23" xfId="0" applyFill="1" applyBorder="1" applyAlignment="1"/>
    <xf numFmtId="0" fontId="1" fillId="30" borderId="22" xfId="0" applyFont="1" applyFill="1" applyBorder="1" applyAlignment="1" applyProtection="1"/>
    <xf numFmtId="0" fontId="0" fillId="30" borderId="42" xfId="0" applyFill="1" applyBorder="1" applyAlignment="1"/>
    <xf numFmtId="0" fontId="0" fillId="30" borderId="23" xfId="0" applyFill="1" applyBorder="1" applyAlignment="1"/>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Currency_ADI Pricing Model - Standard_PMI COMP" xfId="30" xr:uid="{00000000-0005-0000-0000-00001D000000}"/>
    <cellStyle name="Explanatory Text" xfId="31" builtinId="53" customBuiltin="1"/>
    <cellStyle name="Good" xfId="32" builtinId="26" customBuiltin="1"/>
    <cellStyle name="Heading 1" xfId="33" builtinId="16" customBuiltin="1"/>
    <cellStyle name="Heading 2" xfId="34" builtinId="17" customBuiltin="1"/>
    <cellStyle name="Heading 3" xfId="35" builtinId="18" customBuiltin="1"/>
    <cellStyle name="Heading 4" xfId="36" builtinId="19" customBuiltin="1"/>
    <cellStyle name="Hyperlink" xfId="37" builtinId="8"/>
    <cellStyle name="Input" xfId="38" builtinId="20" customBuiltin="1"/>
    <cellStyle name="Linked Cell" xfId="39" builtinId="24" customBuiltin="1"/>
    <cellStyle name="Neutral" xfId="40" builtinId="28" customBuiltin="1"/>
    <cellStyle name="Normal" xfId="0" builtinId="0"/>
    <cellStyle name="Normal_35. HOMEBUYER PLUS" xfId="48" xr:uid="{00000000-0005-0000-0000-000029000000}"/>
    <cellStyle name="Normal_E-Solve Master Rate Cards_25 Sept09" xfId="41" xr:uid="{00000000-0005-0000-0000-00002A000000}"/>
    <cellStyle name="Note" xfId="42" builtinId="10" customBuiltin="1"/>
    <cellStyle name="Output" xfId="43" builtinId="21" customBuiltin="1"/>
    <cellStyle name="Percent" xfId="44" builtinId="5"/>
    <cellStyle name="Title" xfId="45" builtinId="15" customBuiltin="1"/>
    <cellStyle name="Total" xfId="46" builtinId="25" customBuiltin="1"/>
    <cellStyle name="Warning Text" xfId="47" builtinId="11" customBuiltin="1"/>
  </cellStyles>
  <dxfs count="3">
    <dxf>
      <font>
        <color rgb="FFFF0000"/>
      </font>
    </dxf>
    <dxf>
      <fill>
        <patternFill>
          <bgColor indexed="13"/>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D7EEF9"/>
      <rgbColor rgb="003876BA"/>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3" dropStyle="combo" dx="16" fmlaLink="$C$8" fmlaRange="Data!$B$18:$B$20" noThreeD="1" sel="1" val="0"/>
</file>

<file path=xl/ctrlProps/ctrlProp2.xml><?xml version="1.0" encoding="utf-8"?>
<formControlPr xmlns="http://schemas.microsoft.com/office/spreadsheetml/2009/9/main" objectType="Drop" dropLines="10" dropStyle="combo" dx="16" fmlaLink="$G$7" fmlaRange="Data!$D$3:$D$11" noThreeD="1" sel="1" val="0"/>
</file>

<file path=xl/ctrlProps/ctrlProp3.xml><?xml version="1.0" encoding="utf-8"?>
<formControlPr xmlns="http://schemas.microsoft.com/office/spreadsheetml/2009/9/main" objectType="Drop" dropLines="10" dropStyle="combo" dx="16" fmlaLink="$G$8" fmlaRange="Data!$D$3:$D$11" noThreeD="1" sel="1" val="0"/>
</file>

<file path=xl/ctrlProps/ctrlProp4.xml><?xml version="1.0" encoding="utf-8"?>
<formControlPr xmlns="http://schemas.microsoft.com/office/spreadsheetml/2009/9/main" objectType="Drop" dropLines="10" dropStyle="combo" dx="16" fmlaLink="$G$6" fmlaRange="Data!$D$3:$D$11" noThreeD="1"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2" dropStyle="combo" dx="16" fmlaLink="$C$14" fmlaRange="Data!$B$33:$B$34" noThreeD="1" sel="2" val="0"/>
</file>

<file path=xl/ctrlProps/ctrlProp7.xml><?xml version="1.0" encoding="utf-8"?>
<formControlPr xmlns="http://schemas.microsoft.com/office/spreadsheetml/2009/9/main" objectType="Drop" dropLines="3" dropStyle="combo" dx="16" fmlaLink="$C$15" fmlaRange="Data!$B$36:$B$38" noThreeD="1" sel="1" val="0"/>
</file>

<file path=xl/ctrlProps/ctrlProp8.xml><?xml version="1.0" encoding="utf-8"?>
<formControlPr xmlns="http://schemas.microsoft.com/office/spreadsheetml/2009/9/main" objectType="Drop" dropLines="5" dropStyle="combo" dx="16" fmlaLink="$C$9" fmlaRange="Data!$B$40:$B$44" noThreeD="1" sel="1" val="0"/>
</file>

<file path=xl/ctrlProps/ctrlProp9.xml><?xml version="1.0" encoding="utf-8"?>
<formControlPr xmlns="http://schemas.microsoft.com/office/spreadsheetml/2009/9/main" objectType="Drop" dropLines="2" dropStyle="combo" dx="16" fmlaLink="C7" fmlaRange="Data!$B$29:$B$30" noThreeD="1" sel="1" val="0"/>
</file>

<file path=xl/ctrlProps/ctrlProp10.xml><?xml version="1.0" encoding="utf-8"?>
<formControlPr xmlns="http://schemas.microsoft.com/office/spreadsheetml/2009/9/main" objectType="Drop" dropLines="2" dropStyle="combo" dx="16" fmlaLink="$C$13" fmlaRange="Data!$B$46:$B$47" noThreeD="1" sel="2" val="0"/>
</file>

<file path=xl/ctrlProps/ctrlProp11.xml><?xml version="1.0" encoding="utf-8"?>
<formControlPr xmlns="http://schemas.microsoft.com/office/spreadsheetml/2009/9/main" objectType="Drop" dropLines="10" dropStyle="combo" dx="16" fmlaLink="$G$9" fmlaRange="Data!$D$3:$D$11" noThreeD="1" sel="1" val="0"/>
</file>

<file path=xl/ctrlProps/ctrlProp12.xml><?xml version="1.0" encoding="utf-8"?>
<formControlPr xmlns="http://schemas.microsoft.com/office/spreadsheetml/2009/9/main" objectType="Drop" dropLines="10" dropStyle="combo" dx="16" fmlaLink="$G$10" fmlaRange="Data!$D$3:$D$11" noThreeD="1" sel="1" val="0"/>
</file>

<file path=xl/ctrlProps/ctrlProp13.xml><?xml version="1.0" encoding="utf-8"?>
<formControlPr xmlns="http://schemas.microsoft.com/office/spreadsheetml/2009/9/main" objectType="Drop" dropLines="10" dropStyle="combo" dx="16" fmlaLink="$H$6" fmlaRange="Data!$B$48:$B$50" noThreeD="1" sel="2" val="0"/>
</file>

<file path=xl/ctrlProps/ctrlProp14.xml><?xml version="1.0" encoding="utf-8"?>
<formControlPr xmlns="http://schemas.microsoft.com/office/spreadsheetml/2009/9/main" objectType="Drop" dropLines="10" dropStyle="combo" dx="16" fmlaLink="$H$7" fmlaRange="Data!$B$48:$B$50" noThreeD="1" sel="1" val="0"/>
</file>

<file path=xl/ctrlProps/ctrlProp15.xml><?xml version="1.0" encoding="utf-8"?>
<formControlPr xmlns="http://schemas.microsoft.com/office/spreadsheetml/2009/9/main" objectType="Drop" dropLines="10" dropStyle="combo" dx="16" fmlaLink="$H$8" fmlaRange="Data!$B$48:$B$50" noThreeD="1" sel="1" val="0"/>
</file>

<file path=xl/ctrlProps/ctrlProp16.xml><?xml version="1.0" encoding="utf-8"?>
<formControlPr xmlns="http://schemas.microsoft.com/office/spreadsheetml/2009/9/main" objectType="Drop" dropLines="10" dropStyle="combo" dx="16" fmlaLink="$H$9" fmlaRange="Data!$B$48:$B$50" noThreeD="1" sel="1" val="0"/>
</file>

<file path=xl/ctrlProps/ctrlProp17.xml><?xml version="1.0" encoding="utf-8"?>
<formControlPr xmlns="http://schemas.microsoft.com/office/spreadsheetml/2009/9/main" objectType="Drop" dropLines="10" dropStyle="combo" dx="16" fmlaLink="$H$10" fmlaRange="Data!$B$48:$B$50"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hyperlink" Target="#PREMIUM!A1"/><Relationship Id="rId7" Type="http://schemas.openxmlformats.org/officeDocument/2006/relationships/hyperlink" Target="#MENU!A81"/><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PREMIUM!C5"/><Relationship Id="rId10" Type="http://schemas.openxmlformats.org/officeDocument/2006/relationships/image" Target="../media/image5.png"/><Relationship Id="rId4" Type="http://schemas.openxmlformats.org/officeDocument/2006/relationships/hyperlink" Target="#MENU!A123"/><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editAs="oneCell">
    <xdr:from>
      <xdr:col>2</xdr:col>
      <xdr:colOff>304801</xdr:colOff>
      <xdr:row>54</xdr:row>
      <xdr:rowOff>152400</xdr:rowOff>
    </xdr:from>
    <xdr:to>
      <xdr:col>10</xdr:col>
      <xdr:colOff>28232</xdr:colOff>
      <xdr:row>74</xdr:row>
      <xdr:rowOff>103500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1" y="9734550"/>
          <a:ext cx="4657381" cy="3189600"/>
        </a:xfrm>
        <a:prstGeom prst="rect">
          <a:avLst/>
        </a:prstGeom>
      </xdr:spPr>
    </xdr:pic>
    <xdr:clientData/>
  </xdr:twoCellAnchor>
  <xdr:twoCellAnchor>
    <xdr:from>
      <xdr:col>8</xdr:col>
      <xdr:colOff>66675</xdr:colOff>
      <xdr:row>76</xdr:row>
      <xdr:rowOff>76200</xdr:rowOff>
    </xdr:from>
    <xdr:to>
      <xdr:col>9</xdr:col>
      <xdr:colOff>447675</xdr:colOff>
      <xdr:row>79</xdr:row>
      <xdr:rowOff>47625</xdr:rowOff>
    </xdr:to>
    <xdr:sp macro="" textlink="">
      <xdr:nvSpPr>
        <xdr:cNvPr id="11407" name="Text Box 143">
          <a:hlinkClick xmlns:r="http://schemas.openxmlformats.org/officeDocument/2006/relationships" r:id="rId2"/>
          <a:extLst>
            <a:ext uri="{FF2B5EF4-FFF2-40B4-BE49-F238E27FC236}">
              <a16:creationId xmlns:a16="http://schemas.microsoft.com/office/drawing/2014/main" id="{00000000-0008-0000-0000-00008F2C0000}"/>
            </a:ext>
          </a:extLst>
        </xdr:cNvPr>
        <xdr:cNvSpPr txBox="1">
          <a:spLocks noChangeArrowheads="1"/>
        </xdr:cNvSpPr>
      </xdr:nvSpPr>
      <xdr:spPr bwMode="auto">
        <a:xfrm>
          <a:off x="4924425" y="13182600"/>
          <a:ext cx="1028700" cy="4572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00FF"/>
              </a:solidFill>
              <a:latin typeface="Arial Narrow"/>
            </a:rPr>
            <a:t>BACK TO MENU</a:t>
          </a:r>
        </a:p>
      </xdr:txBody>
    </xdr:sp>
    <xdr:clientData/>
  </xdr:twoCellAnchor>
  <xdr:twoCellAnchor>
    <xdr:from>
      <xdr:col>5</xdr:col>
      <xdr:colOff>228600</xdr:colOff>
      <xdr:row>76</xdr:row>
      <xdr:rowOff>85725</xdr:rowOff>
    </xdr:from>
    <xdr:to>
      <xdr:col>7</xdr:col>
      <xdr:colOff>238125</xdr:colOff>
      <xdr:row>78</xdr:row>
      <xdr:rowOff>9525</xdr:rowOff>
    </xdr:to>
    <xdr:sp macro="" textlink="">
      <xdr:nvSpPr>
        <xdr:cNvPr id="11408" name="Text Box 144">
          <a:hlinkClick xmlns:r="http://schemas.openxmlformats.org/officeDocument/2006/relationships" r:id="rId3"/>
          <a:extLst>
            <a:ext uri="{FF2B5EF4-FFF2-40B4-BE49-F238E27FC236}">
              <a16:creationId xmlns:a16="http://schemas.microsoft.com/office/drawing/2014/main" id="{00000000-0008-0000-0000-0000902C0000}"/>
            </a:ext>
          </a:extLst>
        </xdr:cNvPr>
        <xdr:cNvSpPr txBox="1">
          <a:spLocks noChangeArrowheads="1"/>
        </xdr:cNvSpPr>
      </xdr:nvSpPr>
      <xdr:spPr bwMode="auto">
        <a:xfrm>
          <a:off x="3276600" y="13192125"/>
          <a:ext cx="1238250" cy="2476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00FF"/>
              </a:solidFill>
              <a:latin typeface="Arial Narrow"/>
            </a:rPr>
            <a:t>GO TO CALCULATOR</a:t>
          </a:r>
        </a:p>
      </xdr:txBody>
    </xdr:sp>
    <xdr:clientData/>
  </xdr:twoCellAnchor>
  <xdr:twoCellAnchor>
    <xdr:from>
      <xdr:col>0</xdr:col>
      <xdr:colOff>571500</xdr:colOff>
      <xdr:row>93</xdr:row>
      <xdr:rowOff>152400</xdr:rowOff>
    </xdr:from>
    <xdr:to>
      <xdr:col>7</xdr:col>
      <xdr:colOff>66675</xdr:colOff>
      <xdr:row>118</xdr:row>
      <xdr:rowOff>142875</xdr:rowOff>
    </xdr:to>
    <xdr:sp macro="" textlink="">
      <xdr:nvSpPr>
        <xdr:cNvPr id="11414" name="Text Box 150">
          <a:extLst>
            <a:ext uri="{FF2B5EF4-FFF2-40B4-BE49-F238E27FC236}">
              <a16:creationId xmlns:a16="http://schemas.microsoft.com/office/drawing/2014/main" id="{00000000-0008-0000-0000-0000962C0000}"/>
            </a:ext>
          </a:extLst>
        </xdr:cNvPr>
        <xdr:cNvSpPr txBox="1">
          <a:spLocks noChangeArrowheads="1"/>
        </xdr:cNvSpPr>
      </xdr:nvSpPr>
      <xdr:spPr bwMode="auto">
        <a:xfrm>
          <a:off x="571500" y="16011525"/>
          <a:ext cx="3771900" cy="40386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Example 1: New loan </a:t>
          </a:r>
        </a:p>
        <a:p>
          <a:pPr algn="l" rtl="0">
            <a:defRPr sz="1000"/>
          </a:pPr>
          <a:endParaRPr lang="en-US" sz="900" b="1"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Customer </a:t>
          </a:r>
          <a:r>
            <a:rPr lang="en-US" sz="900" b="1" i="0" u="none" strike="noStrike" baseline="0">
              <a:solidFill>
                <a:srgbClr val="000000"/>
              </a:solidFill>
              <a:latin typeface="Arial"/>
              <a:cs typeface="Arial"/>
            </a:rPr>
            <a:t>A</a:t>
          </a:r>
          <a:r>
            <a:rPr lang="en-US" sz="900" b="0" i="0" u="none" strike="noStrike" baseline="0">
              <a:solidFill>
                <a:srgbClr val="000000"/>
              </a:solidFill>
              <a:latin typeface="Arial"/>
              <a:cs typeface="Arial"/>
            </a:rPr>
            <a:t> is a first home buyer &amp; applies for a new loan of $300,000. The value of the security is $400, 000 and is located in QLD.</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1. Select </a:t>
          </a:r>
          <a:r>
            <a:rPr lang="en-US" sz="900" b="1" i="1" u="none" strike="noStrike" baseline="0">
              <a:solidFill>
                <a:srgbClr val="000000"/>
              </a:solidFill>
              <a:latin typeface="Arial"/>
              <a:cs typeface="Arial"/>
            </a:rPr>
            <a:t>New Loan </a:t>
          </a:r>
          <a:r>
            <a:rPr lang="en-US" sz="900" b="0" i="0" u="none" strike="noStrike" baseline="0">
              <a:solidFill>
                <a:srgbClr val="000000"/>
              </a:solidFill>
              <a:latin typeface="Arial"/>
              <a:cs typeface="Arial"/>
            </a:rPr>
            <a:t>from the loan type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2. Select the applicable LMI product from the </a:t>
          </a:r>
          <a:r>
            <a:rPr lang="en-US" sz="900" b="1" i="1" u="none" strike="noStrike" baseline="0">
              <a:solidFill>
                <a:srgbClr val="000000"/>
              </a:solidFill>
              <a:latin typeface="Arial"/>
              <a:cs typeface="Arial"/>
            </a:rPr>
            <a:t>Product</a:t>
          </a:r>
          <a:r>
            <a:rPr lang="en-US" sz="900" b="0" i="0" u="none" strike="noStrike" baseline="0">
              <a:solidFill>
                <a:srgbClr val="000000"/>
              </a:solidFill>
              <a:latin typeface="Arial"/>
              <a:cs typeface="Arial"/>
            </a:rPr>
            <a:t> drop down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3. Select the </a:t>
          </a:r>
          <a:r>
            <a:rPr lang="en-US" sz="900" b="1" i="1" u="none" strike="noStrike" baseline="0">
              <a:solidFill>
                <a:srgbClr val="000000"/>
              </a:solidFill>
              <a:latin typeface="Arial"/>
              <a:cs typeface="Arial"/>
            </a:rPr>
            <a:t>Predominant Loan Purpose</a:t>
          </a:r>
          <a:r>
            <a:rPr lang="en-US" sz="900" b="0" i="0" u="none" strike="noStrike" baseline="0">
              <a:solidFill>
                <a:srgbClr val="000000"/>
              </a:solidFill>
              <a:latin typeface="Arial"/>
              <a:cs typeface="Arial"/>
            </a:rPr>
            <a:t> from the drop down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4. Enter in loan amount of $300,000 in the Loan field.</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5. Leave </a:t>
          </a:r>
          <a:r>
            <a:rPr lang="en-US" sz="900" b="1" i="1" u="none" strike="noStrike" baseline="0">
              <a:solidFill>
                <a:srgbClr val="000000"/>
              </a:solidFill>
              <a:latin typeface="Arial"/>
              <a:cs typeface="Arial"/>
            </a:rPr>
            <a:t>Outstanding Balance Uninsured</a:t>
          </a:r>
          <a:r>
            <a:rPr lang="en-US" sz="900" b="0" i="0" u="none" strike="noStrike" baseline="0">
              <a:solidFill>
                <a:srgbClr val="000000"/>
              </a:solidFill>
              <a:latin typeface="Arial"/>
              <a:cs typeface="Arial"/>
            </a:rPr>
            <a:t> field blank.</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6. Enter "Yes" in the First Home Buyer from the drop down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7. In the Security Details section, enter the valuation amount of $400,000 together with the state the security is located in and the occupancy type for this secuirty.</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8. As they are a First Home Buyer, select </a:t>
          </a:r>
          <a:r>
            <a:rPr lang="en-US" sz="900" b="1" i="1" u="none" strike="noStrike" baseline="0">
              <a:solidFill>
                <a:srgbClr val="000000"/>
              </a:solidFill>
              <a:latin typeface="Arial"/>
              <a:cs typeface="Arial"/>
            </a:rPr>
            <a:t>QLD 1st </a:t>
          </a:r>
          <a:r>
            <a:rPr lang="en-US" sz="900" b="0" i="0" u="none" strike="noStrike" baseline="0">
              <a:solidFill>
                <a:srgbClr val="000000"/>
              </a:solidFill>
              <a:latin typeface="Arial"/>
              <a:cs typeface="Arial"/>
            </a:rPr>
            <a:t>from the </a:t>
          </a:r>
          <a:r>
            <a:rPr lang="en-US" sz="900" b="1" i="1" u="none" strike="noStrike" baseline="0">
              <a:solidFill>
                <a:srgbClr val="000000"/>
              </a:solidFill>
              <a:latin typeface="Arial"/>
              <a:cs typeface="Arial"/>
            </a:rPr>
            <a:t>State of Securities</a:t>
          </a:r>
          <a:r>
            <a:rPr lang="en-US" sz="900" b="0" i="0" u="none" strike="noStrike" baseline="0">
              <a:solidFill>
                <a:srgbClr val="000000"/>
              </a:solidFill>
              <a:latin typeface="Arial"/>
              <a:cs typeface="Arial"/>
            </a:rPr>
            <a:t> drop down list </a:t>
          </a:r>
        </a:p>
        <a:p>
          <a:pPr algn="l" rtl="0">
            <a:defRPr sz="1000"/>
          </a:pPr>
          <a:r>
            <a:rPr lang="en-US" sz="900" b="0" i="0" u="none" strike="noStrike" baseline="0">
              <a:solidFill>
                <a:srgbClr val="000000"/>
              </a:solidFill>
              <a:latin typeface="Arial"/>
              <a:cs typeface="Arial"/>
            </a:rPr>
            <a:t> </a:t>
          </a:r>
          <a:endParaRPr lang="en-US" sz="900" b="1" i="0" u="none" strike="noStrike" baseline="0">
            <a:solidFill>
              <a:srgbClr val="000000"/>
            </a:solidFill>
            <a:latin typeface="Arial"/>
            <a:cs typeface="Arial"/>
          </a:endParaRPr>
        </a:p>
        <a:p>
          <a:pPr algn="l" rtl="0">
            <a:defRPr sz="1000"/>
          </a:pPr>
          <a:endParaRPr lang="en-US" sz="900" b="1" i="0" u="none" strike="noStrike" baseline="0">
            <a:solidFill>
              <a:srgbClr val="000000"/>
            </a:solidFill>
            <a:latin typeface="Arial"/>
            <a:cs typeface="Arial"/>
          </a:endParaRPr>
        </a:p>
      </xdr:txBody>
    </xdr:sp>
    <xdr:clientData/>
  </xdr:twoCellAnchor>
  <xdr:twoCellAnchor>
    <xdr:from>
      <xdr:col>7</xdr:col>
      <xdr:colOff>361950</xdr:colOff>
      <xdr:row>94</xdr:row>
      <xdr:rowOff>0</xdr:rowOff>
    </xdr:from>
    <xdr:to>
      <xdr:col>13</xdr:col>
      <xdr:colOff>400050</xdr:colOff>
      <xdr:row>118</xdr:row>
      <xdr:rowOff>142875</xdr:rowOff>
    </xdr:to>
    <xdr:sp macro="" textlink="">
      <xdr:nvSpPr>
        <xdr:cNvPr id="11417" name="Text Box 153">
          <a:extLst>
            <a:ext uri="{FF2B5EF4-FFF2-40B4-BE49-F238E27FC236}">
              <a16:creationId xmlns:a16="http://schemas.microsoft.com/office/drawing/2014/main" id="{00000000-0008-0000-0000-0000992C0000}"/>
            </a:ext>
          </a:extLst>
        </xdr:cNvPr>
        <xdr:cNvSpPr txBox="1">
          <a:spLocks noChangeArrowheads="1"/>
        </xdr:cNvSpPr>
      </xdr:nvSpPr>
      <xdr:spPr bwMode="auto">
        <a:xfrm>
          <a:off x="4638675" y="16021050"/>
          <a:ext cx="3781425" cy="40290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Example 2: Top Up loan</a:t>
          </a:r>
        </a:p>
        <a:p>
          <a:pPr algn="l" rtl="0">
            <a:defRPr sz="1000"/>
          </a:pPr>
          <a:endParaRPr lang="en-US" sz="900" b="1"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Customer </a:t>
          </a:r>
          <a:r>
            <a:rPr lang="en-US" sz="900" b="1" i="0" u="none" strike="noStrike" baseline="0">
              <a:solidFill>
                <a:srgbClr val="000000"/>
              </a:solidFill>
              <a:latin typeface="Arial"/>
              <a:cs typeface="Arial"/>
            </a:rPr>
            <a:t>B</a:t>
          </a:r>
          <a:r>
            <a:rPr lang="en-US" sz="900" b="0" i="0" u="none" strike="noStrike" baseline="0">
              <a:solidFill>
                <a:srgbClr val="000000"/>
              </a:solidFill>
              <a:latin typeface="Arial"/>
              <a:cs typeface="Arial"/>
            </a:rPr>
            <a:t> has an existing loan insured through Genworth and wishes to borrow additional loan funds for extensive home renovations. The existing loan has a balance of $95,000 and they wish to borrow additional funds of $200,000. Loan funds will be controlled by the lender. The security is located in Tasmania.</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1. Select </a:t>
          </a:r>
          <a:r>
            <a:rPr lang="en-US" sz="900" b="1" i="1" u="none" strike="noStrike" baseline="0">
              <a:solidFill>
                <a:srgbClr val="000000"/>
              </a:solidFill>
              <a:latin typeface="Arial"/>
              <a:cs typeface="Arial"/>
            </a:rPr>
            <a:t>Top-Up</a:t>
          </a:r>
          <a:r>
            <a:rPr lang="en-US" sz="900" b="0" i="0" u="none" strike="noStrike" baseline="0">
              <a:solidFill>
                <a:srgbClr val="000000"/>
              </a:solidFill>
              <a:latin typeface="Arial"/>
              <a:cs typeface="Arial"/>
            </a:rPr>
            <a:t> from the loan type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2. Select the applicable LMI product from the </a:t>
          </a:r>
          <a:r>
            <a:rPr lang="en-US" sz="900" b="1" i="1" u="none" strike="noStrike" baseline="0">
              <a:solidFill>
                <a:srgbClr val="000000"/>
              </a:solidFill>
              <a:latin typeface="Arial"/>
              <a:cs typeface="Arial"/>
            </a:rPr>
            <a:t>Product</a:t>
          </a:r>
          <a:r>
            <a:rPr lang="en-US" sz="900" b="0" i="0" u="none" strike="noStrike" baseline="0">
              <a:solidFill>
                <a:srgbClr val="000000"/>
              </a:solidFill>
              <a:latin typeface="Arial"/>
              <a:cs typeface="Arial"/>
            </a:rPr>
            <a:t> drop down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3. Select </a:t>
          </a:r>
          <a:r>
            <a:rPr lang="en-US" sz="900" b="1" i="1" u="none" strike="noStrike" baseline="0">
              <a:solidFill>
                <a:srgbClr val="000000"/>
              </a:solidFill>
              <a:latin typeface="Arial"/>
              <a:cs typeface="Arial"/>
            </a:rPr>
            <a:t>Purchase or Construction </a:t>
          </a:r>
          <a:r>
            <a:rPr lang="en-US" sz="900" b="0" i="0" u="none" strike="noStrike" baseline="0">
              <a:solidFill>
                <a:srgbClr val="000000"/>
              </a:solidFill>
              <a:latin typeface="Arial"/>
              <a:cs typeface="Arial"/>
            </a:rPr>
            <a:t>from the </a:t>
          </a:r>
          <a:r>
            <a:rPr lang="en-US" sz="900" b="1" i="1" u="none" strike="noStrike" baseline="0">
              <a:solidFill>
                <a:srgbClr val="000000"/>
              </a:solidFill>
              <a:latin typeface="Arial"/>
              <a:cs typeface="Arial"/>
            </a:rPr>
            <a:t>Predominant Loan Purpose</a:t>
          </a:r>
          <a:r>
            <a:rPr lang="en-US" sz="900" b="0" i="0" u="none" strike="noStrike" baseline="0">
              <a:solidFill>
                <a:srgbClr val="000000"/>
              </a:solidFill>
              <a:latin typeface="Arial"/>
              <a:cs typeface="Arial"/>
            </a:rPr>
            <a:t>  drop down list</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4. Enter the total loan amount of $295,000 (ie $95,000 current balance plus $200,000 for the new loan sought) in the </a:t>
          </a:r>
          <a:r>
            <a:rPr lang="en-US" sz="900" b="1" i="1" u="none" strike="noStrike" baseline="0">
              <a:solidFill>
                <a:srgbClr val="000000"/>
              </a:solidFill>
              <a:latin typeface="Arial"/>
              <a:cs typeface="Arial"/>
            </a:rPr>
            <a:t>New Loan Amount  </a:t>
          </a:r>
          <a:r>
            <a:rPr lang="en-US" sz="900" b="0" i="0" u="none" strike="noStrike" baseline="0">
              <a:solidFill>
                <a:srgbClr val="000000"/>
              </a:solidFill>
              <a:latin typeface="Arial"/>
              <a:cs typeface="Arial"/>
            </a:rPr>
            <a:t>field</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5. Leave </a:t>
          </a:r>
          <a:r>
            <a:rPr lang="en-US" sz="900" b="1" i="1" u="none" strike="noStrike" baseline="0">
              <a:solidFill>
                <a:srgbClr val="000000"/>
              </a:solidFill>
              <a:latin typeface="Arial"/>
              <a:cs typeface="Arial"/>
            </a:rPr>
            <a:t>Outstanding Balance Uninsured </a:t>
          </a:r>
          <a:r>
            <a:rPr lang="en-US" sz="900" b="0" i="0" u="none" strike="noStrike" baseline="0">
              <a:solidFill>
                <a:srgbClr val="000000"/>
              </a:solidFill>
              <a:latin typeface="Arial"/>
              <a:cs typeface="Arial"/>
            </a:rPr>
            <a:t>field blank</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6. In the </a:t>
          </a:r>
          <a:r>
            <a:rPr lang="en-US" sz="900" b="1" i="1" u="none" strike="noStrike" baseline="0">
              <a:solidFill>
                <a:srgbClr val="000000"/>
              </a:solidFill>
              <a:latin typeface="Arial"/>
              <a:cs typeface="Arial"/>
            </a:rPr>
            <a:t>LMI Premium already paid </a:t>
          </a:r>
          <a:r>
            <a:rPr lang="en-US" sz="900" b="0" i="0" u="none" strike="noStrike" baseline="0">
              <a:solidFill>
                <a:srgbClr val="000000"/>
              </a:solidFill>
              <a:latin typeface="Arial"/>
              <a:cs typeface="Arial"/>
            </a:rPr>
            <a:t>field, enter the LMI premium amount previously paid, excluding stamp duty.</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6. Enter the security valuation amount, state and occupancy type in the Security Details section.</a:t>
          </a:r>
        </a:p>
        <a:p>
          <a:pPr algn="l" rtl="0">
            <a:defRPr sz="1000"/>
          </a:pPr>
          <a:endParaRPr lang="en-US" sz="900" b="0" i="0" u="none" strike="noStrike" baseline="0">
            <a:solidFill>
              <a:srgbClr val="000000"/>
            </a:solidFill>
            <a:latin typeface="Arial"/>
            <a:cs typeface="Arial"/>
          </a:endParaRPr>
        </a:p>
        <a:p>
          <a:pPr algn="l" rtl="0">
            <a:defRPr sz="1000"/>
          </a:pPr>
          <a:endParaRPr lang="en-US" sz="900" b="0" i="0" u="none" strike="noStrike" baseline="0">
            <a:solidFill>
              <a:srgbClr val="000000"/>
            </a:solidFill>
            <a:latin typeface="Arial"/>
            <a:cs typeface="Arial"/>
          </a:endParaRPr>
        </a:p>
      </xdr:txBody>
    </xdr:sp>
    <xdr:clientData/>
  </xdr:twoCellAnchor>
  <xdr:twoCellAnchor editAs="oneCell">
    <xdr:from>
      <xdr:col>5</xdr:col>
      <xdr:colOff>28575</xdr:colOff>
      <xdr:row>88</xdr:row>
      <xdr:rowOff>133350</xdr:rowOff>
    </xdr:from>
    <xdr:to>
      <xdr:col>8</xdr:col>
      <xdr:colOff>609600</xdr:colOff>
      <xdr:row>91</xdr:row>
      <xdr:rowOff>76200</xdr:rowOff>
    </xdr:to>
    <xdr:sp macro="" textlink="">
      <xdr:nvSpPr>
        <xdr:cNvPr id="11419" name="Text Box 155">
          <a:extLst>
            <a:ext uri="{FF2B5EF4-FFF2-40B4-BE49-F238E27FC236}">
              <a16:creationId xmlns:a16="http://schemas.microsoft.com/office/drawing/2014/main" id="{00000000-0008-0000-0000-00009B2C0000}"/>
            </a:ext>
          </a:extLst>
        </xdr:cNvPr>
        <xdr:cNvSpPr txBox="1">
          <a:spLocks noChangeArrowheads="1"/>
        </xdr:cNvSpPr>
      </xdr:nvSpPr>
      <xdr:spPr bwMode="auto">
        <a:xfrm>
          <a:off x="3076575" y="15182850"/>
          <a:ext cx="2390775" cy="428625"/>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en-US" sz="1800" b="1" i="0" u="none" strike="noStrike" baseline="0">
              <a:solidFill>
                <a:srgbClr val="FF0000"/>
              </a:solidFill>
              <a:latin typeface="Univers 47 CondensedLight"/>
            </a:rPr>
            <a:t>Calculator Examples</a:t>
          </a:r>
        </a:p>
        <a:p>
          <a:pPr algn="ctr" rtl="0">
            <a:defRPr sz="1000"/>
          </a:pPr>
          <a:endParaRPr lang="en-US" sz="1800" b="1" i="0" u="none" strike="noStrike" baseline="0">
            <a:solidFill>
              <a:srgbClr val="FF0000"/>
            </a:solidFill>
            <a:latin typeface="Univers 47 CondensedLight"/>
          </a:endParaRPr>
        </a:p>
      </xdr:txBody>
    </xdr:sp>
    <xdr:clientData/>
  </xdr:twoCellAnchor>
  <xdr:twoCellAnchor>
    <xdr:from>
      <xdr:col>6</xdr:col>
      <xdr:colOff>152400</xdr:colOff>
      <xdr:row>120</xdr:row>
      <xdr:rowOff>38100</xdr:rowOff>
    </xdr:from>
    <xdr:to>
      <xdr:col>8</xdr:col>
      <xdr:colOff>342900</xdr:colOff>
      <xdr:row>122</xdr:row>
      <xdr:rowOff>0</xdr:rowOff>
    </xdr:to>
    <xdr:sp macro="" textlink="">
      <xdr:nvSpPr>
        <xdr:cNvPr id="11421" name="Text Box 157">
          <a:hlinkClick xmlns:r="http://schemas.openxmlformats.org/officeDocument/2006/relationships" r:id="rId2"/>
          <a:extLst>
            <a:ext uri="{FF2B5EF4-FFF2-40B4-BE49-F238E27FC236}">
              <a16:creationId xmlns:a16="http://schemas.microsoft.com/office/drawing/2014/main" id="{00000000-0008-0000-0000-00009D2C0000}"/>
            </a:ext>
          </a:extLst>
        </xdr:cNvPr>
        <xdr:cNvSpPr txBox="1">
          <a:spLocks noChangeArrowheads="1"/>
        </xdr:cNvSpPr>
      </xdr:nvSpPr>
      <xdr:spPr bwMode="auto">
        <a:xfrm>
          <a:off x="3848100" y="20145375"/>
          <a:ext cx="1352550" cy="2857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1000" b="1" i="0" u="sng" strike="noStrike" baseline="0">
              <a:solidFill>
                <a:srgbClr val="0000FF"/>
              </a:solidFill>
              <a:latin typeface="Arial Narrow"/>
            </a:rPr>
            <a:t>BACK TO MENU</a:t>
          </a:r>
        </a:p>
      </xdr:txBody>
    </xdr:sp>
    <xdr:clientData/>
  </xdr:twoCellAnchor>
  <xdr:twoCellAnchor>
    <xdr:from>
      <xdr:col>1</xdr:col>
      <xdr:colOff>19050</xdr:colOff>
      <xdr:row>137</xdr:row>
      <xdr:rowOff>0</xdr:rowOff>
    </xdr:from>
    <xdr:to>
      <xdr:col>3</xdr:col>
      <xdr:colOff>76200</xdr:colOff>
      <xdr:row>138</xdr:row>
      <xdr:rowOff>123825</xdr:rowOff>
    </xdr:to>
    <xdr:sp macro="" textlink="">
      <xdr:nvSpPr>
        <xdr:cNvPr id="11424" name="Text Box 160">
          <a:hlinkClick xmlns:r="http://schemas.openxmlformats.org/officeDocument/2006/relationships" r:id="rId2"/>
          <a:extLst>
            <a:ext uri="{FF2B5EF4-FFF2-40B4-BE49-F238E27FC236}">
              <a16:creationId xmlns:a16="http://schemas.microsoft.com/office/drawing/2014/main" id="{00000000-0008-0000-0000-0000A02C0000}"/>
            </a:ext>
          </a:extLst>
        </xdr:cNvPr>
        <xdr:cNvSpPr txBox="1">
          <a:spLocks noChangeArrowheads="1"/>
        </xdr:cNvSpPr>
      </xdr:nvSpPr>
      <xdr:spPr bwMode="auto">
        <a:xfrm>
          <a:off x="628650" y="23374350"/>
          <a:ext cx="1276350" cy="2857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00FF"/>
              </a:solidFill>
              <a:latin typeface="Arial Narrow"/>
            </a:rPr>
            <a:t>BACK TO MENU</a:t>
          </a:r>
        </a:p>
      </xdr:txBody>
    </xdr:sp>
    <xdr:clientData/>
  </xdr:twoCellAnchor>
  <xdr:twoCellAnchor editAs="oneCell">
    <xdr:from>
      <xdr:col>4</xdr:col>
      <xdr:colOff>38100</xdr:colOff>
      <xdr:row>49</xdr:row>
      <xdr:rowOff>47625</xdr:rowOff>
    </xdr:from>
    <xdr:to>
      <xdr:col>8</xdr:col>
      <xdr:colOff>9525</xdr:colOff>
      <xdr:row>51</xdr:row>
      <xdr:rowOff>152400</xdr:rowOff>
    </xdr:to>
    <xdr:sp macro="" textlink="">
      <xdr:nvSpPr>
        <xdr:cNvPr id="11497" name="Text Box 233">
          <a:extLst>
            <a:ext uri="{FF2B5EF4-FFF2-40B4-BE49-F238E27FC236}">
              <a16:creationId xmlns:a16="http://schemas.microsoft.com/office/drawing/2014/main" id="{00000000-0008-0000-0000-0000E92C0000}"/>
            </a:ext>
          </a:extLst>
        </xdr:cNvPr>
        <xdr:cNvSpPr txBox="1">
          <a:spLocks noChangeArrowheads="1"/>
        </xdr:cNvSpPr>
      </xdr:nvSpPr>
      <xdr:spPr bwMode="auto">
        <a:xfrm>
          <a:off x="2476500" y="8782050"/>
          <a:ext cx="2390775" cy="428625"/>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en-US" sz="1800" b="1" i="0" u="none" strike="noStrike" baseline="0">
              <a:solidFill>
                <a:srgbClr val="FF0000"/>
              </a:solidFill>
              <a:latin typeface="Univers 47 CondensedLight"/>
            </a:rPr>
            <a:t>Calculator Quickguide</a:t>
          </a:r>
        </a:p>
        <a:p>
          <a:pPr algn="ctr" rtl="0">
            <a:defRPr sz="1000"/>
          </a:pPr>
          <a:endParaRPr lang="en-US" sz="1800" b="1" i="0" u="none" strike="noStrike" baseline="0">
            <a:solidFill>
              <a:srgbClr val="FF0000"/>
            </a:solidFill>
            <a:latin typeface="Univers 47 CondensedLight"/>
          </a:endParaRPr>
        </a:p>
      </xdr:txBody>
    </xdr:sp>
    <xdr:clientData/>
  </xdr:twoCellAnchor>
  <xdr:twoCellAnchor>
    <xdr:from>
      <xdr:col>8</xdr:col>
      <xdr:colOff>66675</xdr:colOff>
      <xdr:row>76</xdr:row>
      <xdr:rowOff>76200</xdr:rowOff>
    </xdr:from>
    <xdr:to>
      <xdr:col>9</xdr:col>
      <xdr:colOff>447675</xdr:colOff>
      <xdr:row>79</xdr:row>
      <xdr:rowOff>47625</xdr:rowOff>
    </xdr:to>
    <xdr:sp macro="" textlink="">
      <xdr:nvSpPr>
        <xdr:cNvPr id="11543" name="Text Box 279">
          <a:hlinkClick xmlns:r="http://schemas.openxmlformats.org/officeDocument/2006/relationships" r:id="rId2"/>
          <a:extLst>
            <a:ext uri="{FF2B5EF4-FFF2-40B4-BE49-F238E27FC236}">
              <a16:creationId xmlns:a16="http://schemas.microsoft.com/office/drawing/2014/main" id="{00000000-0008-0000-0000-0000172D0000}"/>
            </a:ext>
          </a:extLst>
        </xdr:cNvPr>
        <xdr:cNvSpPr txBox="1">
          <a:spLocks noChangeArrowheads="1"/>
        </xdr:cNvSpPr>
      </xdr:nvSpPr>
      <xdr:spPr bwMode="auto">
        <a:xfrm>
          <a:off x="4924425" y="13182600"/>
          <a:ext cx="1028700" cy="4572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00FF"/>
              </a:solidFill>
              <a:latin typeface="Arial Narrow"/>
            </a:rPr>
            <a:t>BACK TO MENU</a:t>
          </a:r>
        </a:p>
      </xdr:txBody>
    </xdr:sp>
    <xdr:clientData/>
  </xdr:twoCellAnchor>
  <xdr:twoCellAnchor>
    <xdr:from>
      <xdr:col>2</xdr:col>
      <xdr:colOff>542925</xdr:colOff>
      <xdr:row>76</xdr:row>
      <xdr:rowOff>76200</xdr:rowOff>
    </xdr:from>
    <xdr:to>
      <xdr:col>5</xdr:col>
      <xdr:colOff>9525</xdr:colOff>
      <xdr:row>77</xdr:row>
      <xdr:rowOff>123825</xdr:rowOff>
    </xdr:to>
    <xdr:sp macro="" textlink="">
      <xdr:nvSpPr>
        <xdr:cNvPr id="11545" name="Text Box 281">
          <a:hlinkClick xmlns:r="http://schemas.openxmlformats.org/officeDocument/2006/relationships" r:id="rId4"/>
          <a:extLst>
            <a:ext uri="{FF2B5EF4-FFF2-40B4-BE49-F238E27FC236}">
              <a16:creationId xmlns:a16="http://schemas.microsoft.com/office/drawing/2014/main" id="{00000000-0008-0000-0000-0000192D0000}"/>
            </a:ext>
          </a:extLst>
        </xdr:cNvPr>
        <xdr:cNvSpPr txBox="1">
          <a:spLocks noChangeArrowheads="1"/>
        </xdr:cNvSpPr>
      </xdr:nvSpPr>
      <xdr:spPr bwMode="auto">
        <a:xfrm>
          <a:off x="1762125" y="13182600"/>
          <a:ext cx="1295400" cy="20955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00FF"/>
              </a:solidFill>
              <a:latin typeface="Arial Narrow"/>
            </a:rPr>
            <a:t>SEE EXAMPLES</a:t>
          </a:r>
        </a:p>
      </xdr:txBody>
    </xdr:sp>
    <xdr:clientData/>
  </xdr:twoCellAnchor>
  <xdr:twoCellAnchor editAs="oneCell">
    <xdr:from>
      <xdr:col>6</xdr:col>
      <xdr:colOff>133350</xdr:colOff>
      <xdr:row>12</xdr:row>
      <xdr:rowOff>57150</xdr:rowOff>
    </xdr:from>
    <xdr:to>
      <xdr:col>9</xdr:col>
      <xdr:colOff>400050</xdr:colOff>
      <xdr:row>15</xdr:row>
      <xdr:rowOff>57150</xdr:rowOff>
    </xdr:to>
    <xdr:pic>
      <xdr:nvPicPr>
        <xdr:cNvPr id="6234" name="Picture 300" descr="button">
          <a:hlinkClick xmlns:r="http://schemas.openxmlformats.org/officeDocument/2006/relationships" r:id="rId5"/>
          <a:extLst>
            <a:ext uri="{FF2B5EF4-FFF2-40B4-BE49-F238E27FC236}">
              <a16:creationId xmlns:a16="http://schemas.microsoft.com/office/drawing/2014/main" id="{00000000-0008-0000-0000-00005A18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9050" y="2019300"/>
          <a:ext cx="207645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9525</xdr:colOff>
      <xdr:row>20</xdr:row>
      <xdr:rowOff>104775</xdr:rowOff>
    </xdr:from>
    <xdr:to>
      <xdr:col>8</xdr:col>
      <xdr:colOff>514350</xdr:colOff>
      <xdr:row>22</xdr:row>
      <xdr:rowOff>47625</xdr:rowOff>
    </xdr:to>
    <xdr:pic>
      <xdr:nvPicPr>
        <xdr:cNvPr id="6235" name="Picture 301" descr="quick-guide">
          <a:hlinkClick xmlns:r="http://schemas.openxmlformats.org/officeDocument/2006/relationships" r:id="rId7"/>
          <a:extLst>
            <a:ext uri="{FF2B5EF4-FFF2-40B4-BE49-F238E27FC236}">
              <a16:creationId xmlns:a16="http://schemas.microsoft.com/office/drawing/2014/main" id="{00000000-0008-0000-0000-00005B18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286250" y="3371850"/>
          <a:ext cx="1085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133350</xdr:colOff>
      <xdr:row>52</xdr:row>
      <xdr:rowOff>28575</xdr:rowOff>
    </xdr:from>
    <xdr:to>
      <xdr:col>8</xdr:col>
      <xdr:colOff>76200</xdr:colOff>
      <xdr:row>55</xdr:row>
      <xdr:rowOff>19050</xdr:rowOff>
    </xdr:to>
    <xdr:sp macro="" textlink="">
      <xdr:nvSpPr>
        <xdr:cNvPr id="11574" name="Text Box 310">
          <a:extLst>
            <a:ext uri="{FF2B5EF4-FFF2-40B4-BE49-F238E27FC236}">
              <a16:creationId xmlns:a16="http://schemas.microsoft.com/office/drawing/2014/main" id="{00000000-0008-0000-0000-0000362D0000}"/>
            </a:ext>
          </a:extLst>
        </xdr:cNvPr>
        <xdr:cNvSpPr txBox="1">
          <a:spLocks noChangeArrowheads="1"/>
        </xdr:cNvSpPr>
      </xdr:nvSpPr>
      <xdr:spPr bwMode="auto">
        <a:xfrm>
          <a:off x="2571750" y="9248775"/>
          <a:ext cx="2362200" cy="476250"/>
        </a:xfrm>
        <a:prstGeom prst="rect">
          <a:avLst/>
        </a:prstGeom>
        <a:noFill/>
        <a:ln w="9525">
          <a:noFill/>
          <a:miter lim="800000"/>
          <a:headEnd/>
          <a:tailEnd/>
        </a:ln>
      </xdr:spPr>
      <xdr:txBody>
        <a:bodyPr vertOverflow="clip" wrap="square" lIns="91440" tIns="45720" rIns="91440" bIns="45720" anchor="t" upright="1"/>
        <a:lstStyle/>
        <a:p>
          <a:pPr algn="ctr" rtl="0">
            <a:defRPr sz="1000"/>
          </a:pPr>
          <a:r>
            <a:rPr lang="en-US" sz="1000" b="1" i="0" u="none" strike="noStrike" baseline="0">
              <a:solidFill>
                <a:srgbClr val="000000"/>
              </a:solidFill>
              <a:latin typeface="Trebuchet MS"/>
            </a:rPr>
            <a:t>Enter details of</a:t>
          </a:r>
          <a:r>
            <a:rPr lang="en-US" sz="1000" b="1" i="0" u="none" strike="noStrike" baseline="0">
              <a:solidFill>
                <a:srgbClr val="FF0000"/>
              </a:solidFill>
              <a:latin typeface="Trebuchet MS"/>
            </a:rPr>
            <a:t> loan </a:t>
          </a:r>
          <a:r>
            <a:rPr lang="en-US" sz="1000" b="1" i="0" u="none" strike="noStrike" baseline="0">
              <a:solidFill>
                <a:srgbClr val="000000"/>
              </a:solidFill>
              <a:latin typeface="Trebuchet MS"/>
            </a:rPr>
            <a:t>and </a:t>
          </a:r>
          <a:r>
            <a:rPr lang="en-US" sz="1000" b="1" i="0" u="none" strike="noStrike" baseline="0">
              <a:solidFill>
                <a:srgbClr val="FF0000"/>
              </a:solidFill>
              <a:latin typeface="Trebuchet MS"/>
            </a:rPr>
            <a:t>securities </a:t>
          </a:r>
          <a:r>
            <a:rPr lang="en-US" sz="1000" b="1" i="0" u="none" strike="noStrike" baseline="0">
              <a:solidFill>
                <a:srgbClr val="000000"/>
              </a:solidFill>
              <a:latin typeface="Trebuchet MS"/>
            </a:rPr>
            <a:t>to view</a:t>
          </a:r>
          <a:r>
            <a:rPr lang="en-US" sz="1000" b="1" i="0" u="none" strike="noStrike" baseline="0">
              <a:solidFill>
                <a:srgbClr val="FF0000"/>
              </a:solidFill>
              <a:latin typeface="Trebuchet MS"/>
            </a:rPr>
            <a:t> LVR, Premium, Stamp Duty </a:t>
          </a:r>
          <a:r>
            <a:rPr lang="en-US" sz="1000" b="1" i="0" u="none" strike="noStrike" baseline="0">
              <a:solidFill>
                <a:srgbClr val="000000"/>
              </a:solidFill>
              <a:latin typeface="Trebuchet MS"/>
            </a:rPr>
            <a:t>and</a:t>
          </a:r>
          <a:r>
            <a:rPr lang="en-US" sz="1000" b="1" i="0" u="none" strike="noStrike" baseline="0">
              <a:solidFill>
                <a:srgbClr val="FF0000"/>
              </a:solidFill>
              <a:latin typeface="Trebuchet MS"/>
            </a:rPr>
            <a:t> GST </a:t>
          </a:r>
          <a:r>
            <a:rPr lang="en-US" sz="1000" b="1" i="0" u="none" strike="noStrike" baseline="0">
              <a:solidFill>
                <a:srgbClr val="000000"/>
              </a:solidFill>
              <a:latin typeface="Trebuchet MS"/>
            </a:rPr>
            <a:t>Calculations</a:t>
          </a:r>
        </a:p>
        <a:p>
          <a:pPr algn="ctr" rtl="0">
            <a:defRPr sz="1000"/>
          </a:pPr>
          <a:endParaRPr lang="en-US" sz="1000" b="1" i="0" u="none" strike="noStrike" baseline="0">
            <a:solidFill>
              <a:srgbClr val="000000"/>
            </a:solidFill>
            <a:latin typeface="Trebuchet MS"/>
          </a:endParaRPr>
        </a:p>
      </xdr:txBody>
    </xdr:sp>
    <xdr:clientData/>
  </xdr:twoCellAnchor>
  <xdr:twoCellAnchor>
    <xdr:from>
      <xdr:col>0</xdr:col>
      <xdr:colOff>133350</xdr:colOff>
      <xdr:row>53</xdr:row>
      <xdr:rowOff>114300</xdr:rowOff>
    </xdr:from>
    <xdr:to>
      <xdr:col>2</xdr:col>
      <xdr:colOff>333375</xdr:colOff>
      <xdr:row>56</xdr:row>
      <xdr:rowOff>38100</xdr:rowOff>
    </xdr:to>
    <xdr:grpSp>
      <xdr:nvGrpSpPr>
        <xdr:cNvPr id="6237" name="Group 311">
          <a:extLst>
            <a:ext uri="{FF2B5EF4-FFF2-40B4-BE49-F238E27FC236}">
              <a16:creationId xmlns:a16="http://schemas.microsoft.com/office/drawing/2014/main" id="{00000000-0008-0000-0000-00005D180000}"/>
            </a:ext>
          </a:extLst>
        </xdr:cNvPr>
        <xdr:cNvGrpSpPr>
          <a:grpSpLocks/>
        </xdr:cNvGrpSpPr>
      </xdr:nvGrpSpPr>
      <xdr:grpSpPr bwMode="auto">
        <a:xfrm>
          <a:off x="129540" y="9810750"/>
          <a:ext cx="1459230" cy="438150"/>
          <a:chOff x="8" y="739"/>
          <a:chExt cx="149" cy="43"/>
        </a:xfrm>
      </xdr:grpSpPr>
      <xdr:sp macro="" textlink="">
        <xdr:nvSpPr>
          <xdr:cNvPr id="11576" name="Text Box 312">
            <a:extLst>
              <a:ext uri="{FF2B5EF4-FFF2-40B4-BE49-F238E27FC236}">
                <a16:creationId xmlns:a16="http://schemas.microsoft.com/office/drawing/2014/main" id="{00000000-0008-0000-0000-0000382D0000}"/>
              </a:ext>
            </a:extLst>
          </xdr:cNvPr>
          <xdr:cNvSpPr txBox="1">
            <a:spLocks noChangeArrowheads="1"/>
          </xdr:cNvSpPr>
        </xdr:nvSpPr>
        <xdr:spPr bwMode="auto">
          <a:xfrm>
            <a:off x="23" y="739"/>
            <a:ext cx="134" cy="43"/>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Select </a:t>
            </a:r>
            <a:r>
              <a:rPr lang="en-US" sz="800" b="0" i="1" u="none" strike="noStrike" baseline="0">
                <a:solidFill>
                  <a:srgbClr val="333399"/>
                </a:solidFill>
                <a:latin typeface="Arial"/>
                <a:cs typeface="Arial"/>
              </a:rPr>
              <a:t>Product</a:t>
            </a:r>
            <a:r>
              <a:rPr lang="en-US" sz="800" b="0" i="0" u="none" strike="noStrike" baseline="0">
                <a:solidFill>
                  <a:srgbClr val="000000"/>
                </a:solidFill>
                <a:latin typeface="Arial"/>
                <a:cs typeface="Arial"/>
              </a:rPr>
              <a:t> type from drop down menu</a:t>
            </a:r>
          </a:p>
          <a:p>
            <a:pPr algn="l" rtl="0">
              <a:lnSpc>
                <a:spcPts val="800"/>
              </a:lnSpc>
              <a:defRPr sz="1000"/>
            </a:pPr>
            <a:endParaRPr lang="en-US" sz="800" b="0" i="0" u="none" strike="noStrike" baseline="0">
              <a:solidFill>
                <a:srgbClr val="000000"/>
              </a:solidFill>
              <a:latin typeface="Arial"/>
              <a:cs typeface="Arial"/>
            </a:endParaRPr>
          </a:p>
        </xdr:txBody>
      </xdr:sp>
      <xdr:sp macro="" textlink="">
        <xdr:nvSpPr>
          <xdr:cNvPr id="11577" name="Text Box 313">
            <a:extLst>
              <a:ext uri="{FF2B5EF4-FFF2-40B4-BE49-F238E27FC236}">
                <a16:creationId xmlns:a16="http://schemas.microsoft.com/office/drawing/2014/main" id="{00000000-0008-0000-0000-0000392D0000}"/>
              </a:ext>
            </a:extLst>
          </xdr:cNvPr>
          <xdr:cNvSpPr txBox="1">
            <a:spLocks noChangeArrowheads="1"/>
          </xdr:cNvSpPr>
        </xdr:nvSpPr>
        <xdr:spPr bwMode="auto">
          <a:xfrm>
            <a:off x="8" y="745"/>
            <a:ext cx="28" cy="26"/>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1.</a:t>
            </a:r>
          </a:p>
          <a:p>
            <a:pPr algn="l" rtl="0">
              <a:lnSpc>
                <a:spcPts val="600"/>
              </a:lnSpc>
              <a:defRPr sz="1000"/>
            </a:pPr>
            <a:endParaRPr lang="en-US" sz="800" b="0" i="0" u="none" strike="noStrike" baseline="0">
              <a:solidFill>
                <a:srgbClr val="FF0000"/>
              </a:solidFill>
              <a:latin typeface="Arial"/>
              <a:cs typeface="Arial"/>
            </a:endParaRPr>
          </a:p>
        </xdr:txBody>
      </xdr:sp>
    </xdr:grpSp>
    <xdr:clientData/>
  </xdr:twoCellAnchor>
  <xdr:twoCellAnchor>
    <xdr:from>
      <xdr:col>0</xdr:col>
      <xdr:colOff>123825</xdr:colOff>
      <xdr:row>56</xdr:row>
      <xdr:rowOff>28575</xdr:rowOff>
    </xdr:from>
    <xdr:to>
      <xdr:col>0</xdr:col>
      <xdr:colOff>390525</xdr:colOff>
      <xdr:row>57</xdr:row>
      <xdr:rowOff>114300</xdr:rowOff>
    </xdr:to>
    <xdr:sp macro="" textlink="">
      <xdr:nvSpPr>
        <xdr:cNvPr id="11580" name="Text Box 316">
          <a:extLst>
            <a:ext uri="{FF2B5EF4-FFF2-40B4-BE49-F238E27FC236}">
              <a16:creationId xmlns:a16="http://schemas.microsoft.com/office/drawing/2014/main" id="{00000000-0008-0000-0000-00003C2D0000}"/>
            </a:ext>
          </a:extLst>
        </xdr:cNvPr>
        <xdr:cNvSpPr txBox="1">
          <a:spLocks noChangeArrowheads="1"/>
        </xdr:cNvSpPr>
      </xdr:nvSpPr>
      <xdr:spPr bwMode="auto">
        <a:xfrm>
          <a:off x="123825" y="9934575"/>
          <a:ext cx="266700" cy="247650"/>
        </a:xfrm>
        <a:prstGeom prst="rect">
          <a:avLst/>
        </a:prstGeom>
        <a:noFill/>
        <a:ln w="9525">
          <a:noFill/>
          <a:miter lim="800000"/>
          <a:headEnd/>
          <a:tailEnd/>
        </a:ln>
      </xdr:spPr>
      <xdr:txBody>
        <a:bodyPr wrap="none" lIns="91440" tIns="45720" rIns="91440" bIns="45720" anchor="t" upright="1">
          <a:noAutofit/>
        </a:bodyPr>
        <a:lstStyle/>
        <a:p>
          <a:pPr algn="l" rtl="0">
            <a:lnSpc>
              <a:spcPts val="400"/>
            </a:lnSpc>
            <a:defRPr sz="1000"/>
          </a:pPr>
          <a:r>
            <a:rPr lang="en-US" sz="800" b="0" i="0" u="none" strike="noStrike" baseline="0">
              <a:solidFill>
                <a:srgbClr val="FF0000"/>
              </a:solidFill>
              <a:latin typeface="Arial"/>
              <a:cs typeface="Arial"/>
            </a:rPr>
            <a:t>2.</a:t>
          </a:r>
        </a:p>
        <a:p>
          <a:pPr algn="l" rtl="0">
            <a:lnSpc>
              <a:spcPts val="600"/>
            </a:lnSpc>
            <a:defRPr sz="1000"/>
          </a:pPr>
          <a:endParaRPr lang="en-US" sz="800" b="0" i="0" u="none" strike="noStrike" baseline="0">
            <a:solidFill>
              <a:srgbClr val="FF0000"/>
            </a:solidFill>
            <a:latin typeface="Arial"/>
            <a:cs typeface="Arial"/>
          </a:endParaRPr>
        </a:p>
      </xdr:txBody>
    </xdr:sp>
    <xdr:clientData/>
  </xdr:twoCellAnchor>
  <xdr:oneCellAnchor>
    <xdr:from>
      <xdr:col>0</xdr:col>
      <xdr:colOff>276225</xdr:colOff>
      <xdr:row>55</xdr:row>
      <xdr:rowOff>114300</xdr:rowOff>
    </xdr:from>
    <xdr:ext cx="1188659" cy="469231"/>
    <xdr:sp macro="" textlink="">
      <xdr:nvSpPr>
        <xdr:cNvPr id="11581" name="Text Box 317">
          <a:extLst>
            <a:ext uri="{FF2B5EF4-FFF2-40B4-BE49-F238E27FC236}">
              <a16:creationId xmlns:a16="http://schemas.microsoft.com/office/drawing/2014/main" id="{00000000-0008-0000-0000-00003D2D0000}"/>
            </a:ext>
          </a:extLst>
        </xdr:cNvPr>
        <xdr:cNvSpPr txBox="1">
          <a:spLocks noChangeArrowheads="1"/>
        </xdr:cNvSpPr>
      </xdr:nvSpPr>
      <xdr:spPr bwMode="auto">
        <a:xfrm>
          <a:off x="276225" y="9858375"/>
          <a:ext cx="1188659" cy="469231"/>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800" b="0" i="0" u="none" strike="noStrike" baseline="0">
              <a:solidFill>
                <a:srgbClr val="000000"/>
              </a:solidFill>
              <a:latin typeface="Arial"/>
              <a:cs typeface="Arial"/>
            </a:rPr>
            <a:t>Select the appropriate</a:t>
          </a:r>
        </a:p>
        <a:p>
          <a:pPr algn="l" rtl="0">
            <a:lnSpc>
              <a:spcPts val="500"/>
            </a:lnSpc>
            <a:defRPr sz="1000"/>
          </a:pPr>
          <a:r>
            <a:rPr lang="en-US" sz="800" b="0" i="0" u="none" strike="noStrike" baseline="0">
              <a:solidFill>
                <a:srgbClr val="000000"/>
              </a:solidFill>
              <a:latin typeface="Arial"/>
              <a:cs typeface="Arial"/>
            </a:rPr>
            <a:t>Predominant Loan</a:t>
          </a:r>
        </a:p>
        <a:p>
          <a:pPr algn="l" rtl="0">
            <a:lnSpc>
              <a:spcPts val="800"/>
            </a:lnSpc>
            <a:defRPr sz="1000"/>
          </a:pPr>
          <a:r>
            <a:rPr lang="en-US" sz="800" b="0" i="0" u="none" strike="noStrike" baseline="0">
              <a:solidFill>
                <a:srgbClr val="000000"/>
              </a:solidFill>
              <a:latin typeface="Arial"/>
              <a:cs typeface="Arial"/>
            </a:rPr>
            <a:t>Purpose</a:t>
          </a:r>
        </a:p>
        <a:p>
          <a:pPr algn="l" rtl="0">
            <a:lnSpc>
              <a:spcPts val="500"/>
            </a:lnSpc>
            <a:defRPr sz="1000"/>
          </a:pPr>
          <a:endParaRPr lang="en-US" sz="800" b="0" i="0" u="none" strike="noStrike" baseline="0">
            <a:solidFill>
              <a:srgbClr val="000000"/>
            </a:solidFill>
            <a:latin typeface="Arial"/>
            <a:cs typeface="Arial"/>
          </a:endParaRPr>
        </a:p>
      </xdr:txBody>
    </xdr:sp>
    <xdr:clientData/>
  </xdr:oneCellAnchor>
  <xdr:oneCellAnchor>
    <xdr:from>
      <xdr:col>0</xdr:col>
      <xdr:colOff>123825</xdr:colOff>
      <xdr:row>59</xdr:row>
      <xdr:rowOff>47625</xdr:rowOff>
    </xdr:from>
    <xdr:ext cx="270267" cy="246221"/>
    <xdr:sp macro="" textlink="">
      <xdr:nvSpPr>
        <xdr:cNvPr id="11582" name="Text Box 318">
          <a:extLst>
            <a:ext uri="{FF2B5EF4-FFF2-40B4-BE49-F238E27FC236}">
              <a16:creationId xmlns:a16="http://schemas.microsoft.com/office/drawing/2014/main" id="{00000000-0008-0000-0000-00003E2D0000}"/>
            </a:ext>
          </a:extLst>
        </xdr:cNvPr>
        <xdr:cNvSpPr txBox="1">
          <a:spLocks noChangeArrowheads="1"/>
        </xdr:cNvSpPr>
      </xdr:nvSpPr>
      <xdr:spPr bwMode="auto">
        <a:xfrm>
          <a:off x="123825" y="10401300"/>
          <a:ext cx="270267"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3.</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xdr:from>
      <xdr:col>0</xdr:col>
      <xdr:colOff>304800</xdr:colOff>
      <xdr:row>60</xdr:row>
      <xdr:rowOff>28575</xdr:rowOff>
    </xdr:from>
    <xdr:to>
      <xdr:col>2</xdr:col>
      <xdr:colOff>409575</xdr:colOff>
      <xdr:row>64</xdr:row>
      <xdr:rowOff>28575</xdr:rowOff>
    </xdr:to>
    <xdr:sp macro="" textlink="">
      <xdr:nvSpPr>
        <xdr:cNvPr id="11583" name="Text Box 319">
          <a:extLst>
            <a:ext uri="{FF2B5EF4-FFF2-40B4-BE49-F238E27FC236}">
              <a16:creationId xmlns:a16="http://schemas.microsoft.com/office/drawing/2014/main" id="{00000000-0008-0000-0000-00003F2D0000}"/>
            </a:ext>
          </a:extLst>
        </xdr:cNvPr>
        <xdr:cNvSpPr txBox="1">
          <a:spLocks noChangeArrowheads="1"/>
        </xdr:cNvSpPr>
      </xdr:nvSpPr>
      <xdr:spPr bwMode="auto">
        <a:xfrm>
          <a:off x="304800" y="10582275"/>
          <a:ext cx="1323975" cy="6477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Enter </a:t>
          </a:r>
          <a:r>
            <a:rPr lang="en-US" sz="800" b="0" i="1" u="none" strike="noStrike" baseline="0">
              <a:solidFill>
                <a:srgbClr val="333399"/>
              </a:solidFill>
              <a:latin typeface="Arial"/>
              <a:cs typeface="Arial"/>
            </a:rPr>
            <a:t>Outstanding Balance Uninsured </a:t>
          </a:r>
          <a:r>
            <a:rPr lang="en-US" sz="800" b="0" i="0" u="none" strike="noStrike" baseline="0">
              <a:solidFill>
                <a:srgbClr val="000000"/>
              </a:solidFill>
              <a:latin typeface="Arial"/>
              <a:cs typeface="Arial"/>
            </a:rPr>
            <a:t>(i.e. prior mortgage not insured with Genworth)</a:t>
          </a:r>
        </a:p>
        <a:p>
          <a:pPr algn="l" rtl="0">
            <a:defRPr sz="1000"/>
          </a:pPr>
          <a:endParaRPr lang="en-US" sz="800" b="0" i="0" u="none" strike="noStrike" baseline="0">
            <a:solidFill>
              <a:srgbClr val="000000"/>
            </a:solidFill>
            <a:latin typeface="Arial"/>
            <a:cs typeface="Arial"/>
          </a:endParaRPr>
        </a:p>
      </xdr:txBody>
    </xdr:sp>
    <xdr:clientData/>
  </xdr:twoCellAnchor>
  <xdr:oneCellAnchor>
    <xdr:from>
      <xdr:col>0</xdr:col>
      <xdr:colOff>104775</xdr:colOff>
      <xdr:row>63</xdr:row>
      <xdr:rowOff>133350</xdr:rowOff>
    </xdr:from>
    <xdr:ext cx="270267" cy="246221"/>
    <xdr:sp macro="" textlink="">
      <xdr:nvSpPr>
        <xdr:cNvPr id="11584" name="Text Box 320">
          <a:extLst>
            <a:ext uri="{FF2B5EF4-FFF2-40B4-BE49-F238E27FC236}">
              <a16:creationId xmlns:a16="http://schemas.microsoft.com/office/drawing/2014/main" id="{00000000-0008-0000-0000-0000402D0000}"/>
            </a:ext>
          </a:extLst>
        </xdr:cNvPr>
        <xdr:cNvSpPr txBox="1">
          <a:spLocks noChangeArrowheads="1"/>
        </xdr:cNvSpPr>
      </xdr:nvSpPr>
      <xdr:spPr bwMode="auto">
        <a:xfrm>
          <a:off x="104775" y="11172825"/>
          <a:ext cx="270267"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5.</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xdr:from>
      <xdr:col>0</xdr:col>
      <xdr:colOff>114300</xdr:colOff>
      <xdr:row>63</xdr:row>
      <xdr:rowOff>85725</xdr:rowOff>
    </xdr:from>
    <xdr:to>
      <xdr:col>2</xdr:col>
      <xdr:colOff>400050</xdr:colOff>
      <xdr:row>68</xdr:row>
      <xdr:rowOff>114300</xdr:rowOff>
    </xdr:to>
    <xdr:grpSp>
      <xdr:nvGrpSpPr>
        <xdr:cNvPr id="6243" name="Group 321">
          <a:extLst>
            <a:ext uri="{FF2B5EF4-FFF2-40B4-BE49-F238E27FC236}">
              <a16:creationId xmlns:a16="http://schemas.microsoft.com/office/drawing/2014/main" id="{00000000-0008-0000-0000-000063180000}"/>
            </a:ext>
          </a:extLst>
        </xdr:cNvPr>
        <xdr:cNvGrpSpPr>
          <a:grpSpLocks/>
        </xdr:cNvGrpSpPr>
      </xdr:nvGrpSpPr>
      <xdr:grpSpPr bwMode="auto">
        <a:xfrm>
          <a:off x="114300" y="11498580"/>
          <a:ext cx="1539240" cy="883920"/>
          <a:chOff x="13" y="1025"/>
          <a:chExt cx="158" cy="88"/>
        </a:xfrm>
      </xdr:grpSpPr>
      <xdr:sp macro="" textlink="">
        <xdr:nvSpPr>
          <xdr:cNvPr id="11586" name="Text Box 322">
            <a:extLst>
              <a:ext uri="{FF2B5EF4-FFF2-40B4-BE49-F238E27FC236}">
                <a16:creationId xmlns:a16="http://schemas.microsoft.com/office/drawing/2014/main" id="{00000000-0008-0000-0000-0000422D0000}"/>
              </a:ext>
            </a:extLst>
          </xdr:cNvPr>
          <xdr:cNvSpPr txBox="1">
            <a:spLocks noChangeArrowheads="1"/>
          </xdr:cNvSpPr>
        </xdr:nvSpPr>
        <xdr:spPr bwMode="auto">
          <a:xfrm>
            <a:off x="33" y="1025"/>
            <a:ext cx="138" cy="73"/>
          </a:xfrm>
          <a:prstGeom prst="rect">
            <a:avLst/>
          </a:prstGeom>
          <a:noFill/>
          <a:ln w="9525">
            <a:noFill/>
            <a:miter lim="800000"/>
            <a:headEnd/>
            <a:tailEnd/>
          </a:ln>
        </xdr:spPr>
        <xdr:txBody>
          <a:bodyPr vertOverflow="clip" wrap="square" lIns="91440" tIns="45720" rIns="91440" bIns="45720" anchor="t" upright="1"/>
          <a:lstStyle/>
          <a:p>
            <a:pPr algn="l" rtl="0">
              <a:lnSpc>
                <a:spcPts val="700"/>
              </a:lnSpc>
              <a:defRPr sz="1000"/>
            </a:pPr>
            <a:r>
              <a:rPr lang="en-US" sz="800" b="0" i="0" u="none" strike="noStrike" baseline="0">
                <a:solidFill>
                  <a:srgbClr val="000000"/>
                </a:solidFill>
                <a:latin typeface="Arial"/>
                <a:cs typeface="Arial"/>
              </a:rPr>
              <a:t>Enter </a:t>
            </a:r>
            <a:r>
              <a:rPr lang="en-US" sz="800" b="0" i="1" u="none" strike="noStrike" baseline="0">
                <a:solidFill>
                  <a:srgbClr val="333399"/>
                </a:solidFill>
                <a:latin typeface="Arial"/>
                <a:cs typeface="Arial"/>
              </a:rPr>
              <a:t>Amount of premium already paid </a:t>
            </a:r>
            <a:r>
              <a:rPr lang="en-US" sz="800" b="0" i="0" u="none" strike="noStrike" baseline="0">
                <a:solidFill>
                  <a:srgbClr val="000000"/>
                </a:solidFill>
                <a:latin typeface="Arial"/>
                <a:cs typeface="Arial"/>
              </a:rPr>
              <a:t>(i.e. premium credit for top-up)</a:t>
            </a:r>
          </a:p>
          <a:p>
            <a:pPr algn="l" rtl="0">
              <a:lnSpc>
                <a:spcPts val="1000"/>
              </a:lnSpc>
              <a:defRPr sz="1000"/>
            </a:pPr>
            <a:endParaRPr lang="en-US" sz="800" b="0" i="0" u="none" strike="noStrike" baseline="0">
              <a:solidFill>
                <a:srgbClr val="000000"/>
              </a:solidFill>
              <a:latin typeface="Arial"/>
              <a:cs typeface="Arial"/>
            </a:endParaRPr>
          </a:p>
        </xdr:txBody>
      </xdr:sp>
      <xdr:sp macro="" textlink="">
        <xdr:nvSpPr>
          <xdr:cNvPr id="11587" name="Text Box 323">
            <a:extLst>
              <a:ext uri="{FF2B5EF4-FFF2-40B4-BE49-F238E27FC236}">
                <a16:creationId xmlns:a16="http://schemas.microsoft.com/office/drawing/2014/main" id="{00000000-0008-0000-0000-0000432D0000}"/>
              </a:ext>
            </a:extLst>
          </xdr:cNvPr>
          <xdr:cNvSpPr txBox="1">
            <a:spLocks noChangeArrowheads="1"/>
          </xdr:cNvSpPr>
        </xdr:nvSpPr>
        <xdr:spPr bwMode="auto">
          <a:xfrm>
            <a:off x="13" y="1087"/>
            <a:ext cx="28" cy="26"/>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6.</a:t>
            </a:r>
          </a:p>
          <a:p>
            <a:pPr algn="l" rtl="0">
              <a:lnSpc>
                <a:spcPts val="600"/>
              </a:lnSpc>
              <a:defRPr sz="1000"/>
            </a:pPr>
            <a:endParaRPr lang="en-US" sz="800" b="0" i="0" u="none" strike="noStrike" baseline="0">
              <a:solidFill>
                <a:srgbClr val="FF0000"/>
              </a:solidFill>
              <a:latin typeface="Arial"/>
              <a:cs typeface="Arial"/>
            </a:endParaRPr>
          </a:p>
        </xdr:txBody>
      </xdr:sp>
    </xdr:grpSp>
    <xdr:clientData fLocksWithSheet="0"/>
  </xdr:twoCellAnchor>
  <xdr:twoCellAnchor>
    <xdr:from>
      <xdr:col>0</xdr:col>
      <xdr:colOff>209550</xdr:colOff>
      <xdr:row>52</xdr:row>
      <xdr:rowOff>76200</xdr:rowOff>
    </xdr:from>
    <xdr:to>
      <xdr:col>3</xdr:col>
      <xdr:colOff>295275</xdr:colOff>
      <xdr:row>54</xdr:row>
      <xdr:rowOff>57150</xdr:rowOff>
    </xdr:to>
    <xdr:sp macro="" textlink="">
      <xdr:nvSpPr>
        <xdr:cNvPr id="11588" name="Text Box 324">
          <a:extLst>
            <a:ext uri="{FF2B5EF4-FFF2-40B4-BE49-F238E27FC236}">
              <a16:creationId xmlns:a16="http://schemas.microsoft.com/office/drawing/2014/main" id="{00000000-0008-0000-0000-0000442D0000}"/>
            </a:ext>
          </a:extLst>
        </xdr:cNvPr>
        <xdr:cNvSpPr txBox="1">
          <a:spLocks noChangeArrowheads="1"/>
        </xdr:cNvSpPr>
      </xdr:nvSpPr>
      <xdr:spPr bwMode="auto">
        <a:xfrm>
          <a:off x="209550" y="9296400"/>
          <a:ext cx="1914525" cy="3048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Click on RESET button to clear calculator</a:t>
          </a:r>
        </a:p>
      </xdr:txBody>
    </xdr:sp>
    <xdr:clientData/>
  </xdr:twoCellAnchor>
  <xdr:twoCellAnchor>
    <xdr:from>
      <xdr:col>2</xdr:col>
      <xdr:colOff>182189</xdr:colOff>
      <xdr:row>59</xdr:row>
      <xdr:rowOff>80386</xdr:rowOff>
    </xdr:from>
    <xdr:to>
      <xdr:col>4</xdr:col>
      <xdr:colOff>408360</xdr:colOff>
      <xdr:row>61</xdr:row>
      <xdr:rowOff>91061</xdr:rowOff>
    </xdr:to>
    <xdr:sp macro="" textlink="">
      <xdr:nvSpPr>
        <xdr:cNvPr id="6245" name="Line 325">
          <a:extLst>
            <a:ext uri="{FF2B5EF4-FFF2-40B4-BE49-F238E27FC236}">
              <a16:creationId xmlns:a16="http://schemas.microsoft.com/office/drawing/2014/main" id="{00000000-0008-0000-0000-000065180000}"/>
            </a:ext>
          </a:extLst>
        </xdr:cNvPr>
        <xdr:cNvSpPr>
          <a:spLocks noChangeShapeType="1"/>
        </xdr:cNvSpPr>
      </xdr:nvSpPr>
      <xdr:spPr bwMode="auto">
        <a:xfrm rot="10774633">
          <a:off x="1401389" y="10472161"/>
          <a:ext cx="1445371" cy="334525"/>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181277</xdr:colOff>
      <xdr:row>55</xdr:row>
      <xdr:rowOff>38065</xdr:rowOff>
    </xdr:from>
    <xdr:to>
      <xdr:col>4</xdr:col>
      <xdr:colOff>515357</xdr:colOff>
      <xdr:row>60</xdr:row>
      <xdr:rowOff>26622</xdr:rowOff>
    </xdr:to>
    <xdr:sp macro="" textlink="">
      <xdr:nvSpPr>
        <xdr:cNvPr id="6246" name="Line 326">
          <a:extLst>
            <a:ext uri="{FF2B5EF4-FFF2-40B4-BE49-F238E27FC236}">
              <a16:creationId xmlns:a16="http://schemas.microsoft.com/office/drawing/2014/main" id="{00000000-0008-0000-0000-000066180000}"/>
            </a:ext>
          </a:extLst>
        </xdr:cNvPr>
        <xdr:cNvSpPr>
          <a:spLocks noChangeShapeType="1"/>
        </xdr:cNvSpPr>
      </xdr:nvSpPr>
      <xdr:spPr bwMode="auto">
        <a:xfrm rot="-10791351">
          <a:off x="1400477" y="9782140"/>
          <a:ext cx="1553280" cy="798182"/>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190499</xdr:colOff>
      <xdr:row>57</xdr:row>
      <xdr:rowOff>28574</xdr:rowOff>
    </xdr:from>
    <xdr:to>
      <xdr:col>5</xdr:col>
      <xdr:colOff>57148</xdr:colOff>
      <xdr:row>60</xdr:row>
      <xdr:rowOff>142874</xdr:rowOff>
    </xdr:to>
    <xdr:sp macro="" textlink="">
      <xdr:nvSpPr>
        <xdr:cNvPr id="6247" name="Line 327">
          <a:extLst>
            <a:ext uri="{FF2B5EF4-FFF2-40B4-BE49-F238E27FC236}">
              <a16:creationId xmlns:a16="http://schemas.microsoft.com/office/drawing/2014/main" id="{00000000-0008-0000-0000-000067180000}"/>
            </a:ext>
          </a:extLst>
        </xdr:cNvPr>
        <xdr:cNvSpPr>
          <a:spLocks noChangeShapeType="1"/>
        </xdr:cNvSpPr>
      </xdr:nvSpPr>
      <xdr:spPr bwMode="auto">
        <a:xfrm rot="10800000">
          <a:off x="1409699" y="10096499"/>
          <a:ext cx="1695449" cy="600075"/>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76199</xdr:colOff>
      <xdr:row>62</xdr:row>
      <xdr:rowOff>104775</xdr:rowOff>
    </xdr:from>
    <xdr:to>
      <xdr:col>4</xdr:col>
      <xdr:colOff>333374</xdr:colOff>
      <xdr:row>64</xdr:row>
      <xdr:rowOff>47625</xdr:rowOff>
    </xdr:to>
    <xdr:sp macro="" textlink="">
      <xdr:nvSpPr>
        <xdr:cNvPr id="6248" name="Line 328">
          <a:extLst>
            <a:ext uri="{FF2B5EF4-FFF2-40B4-BE49-F238E27FC236}">
              <a16:creationId xmlns:a16="http://schemas.microsoft.com/office/drawing/2014/main" id="{00000000-0008-0000-0000-000068180000}"/>
            </a:ext>
          </a:extLst>
        </xdr:cNvPr>
        <xdr:cNvSpPr>
          <a:spLocks noChangeShapeType="1"/>
        </xdr:cNvSpPr>
      </xdr:nvSpPr>
      <xdr:spPr bwMode="auto">
        <a:xfrm rot="10800000" flipV="1">
          <a:off x="1295399" y="10982325"/>
          <a:ext cx="1476375" cy="26670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142874</xdr:colOff>
      <xdr:row>63</xdr:row>
      <xdr:rowOff>38100</xdr:rowOff>
    </xdr:from>
    <xdr:to>
      <xdr:col>4</xdr:col>
      <xdr:colOff>285748</xdr:colOff>
      <xdr:row>67</xdr:row>
      <xdr:rowOff>123825</xdr:rowOff>
    </xdr:to>
    <xdr:sp macro="" textlink="">
      <xdr:nvSpPr>
        <xdr:cNvPr id="6249" name="Line 329">
          <a:extLst>
            <a:ext uri="{FF2B5EF4-FFF2-40B4-BE49-F238E27FC236}">
              <a16:creationId xmlns:a16="http://schemas.microsoft.com/office/drawing/2014/main" id="{00000000-0008-0000-0000-000069180000}"/>
            </a:ext>
          </a:extLst>
        </xdr:cNvPr>
        <xdr:cNvSpPr>
          <a:spLocks noChangeShapeType="1"/>
        </xdr:cNvSpPr>
      </xdr:nvSpPr>
      <xdr:spPr bwMode="auto">
        <a:xfrm rot="10800000" flipV="1">
          <a:off x="1362074" y="11077575"/>
          <a:ext cx="1362074" cy="733425"/>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219520</xdr:colOff>
      <xdr:row>53</xdr:row>
      <xdr:rowOff>104536</xdr:rowOff>
    </xdr:from>
    <xdr:to>
      <xdr:col>5</xdr:col>
      <xdr:colOff>524989</xdr:colOff>
      <xdr:row>59</xdr:row>
      <xdr:rowOff>17133</xdr:rowOff>
    </xdr:to>
    <xdr:sp macro="" textlink="">
      <xdr:nvSpPr>
        <xdr:cNvPr id="6250" name="Line 330">
          <a:extLst>
            <a:ext uri="{FF2B5EF4-FFF2-40B4-BE49-F238E27FC236}">
              <a16:creationId xmlns:a16="http://schemas.microsoft.com/office/drawing/2014/main" id="{00000000-0008-0000-0000-00006A180000}"/>
            </a:ext>
          </a:extLst>
        </xdr:cNvPr>
        <xdr:cNvSpPr>
          <a:spLocks noChangeShapeType="1"/>
        </xdr:cNvSpPr>
      </xdr:nvSpPr>
      <xdr:spPr bwMode="auto">
        <a:xfrm rot="-10791351">
          <a:off x="2048320" y="9524761"/>
          <a:ext cx="1524669" cy="884147"/>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190500</xdr:colOff>
      <xdr:row>54</xdr:row>
      <xdr:rowOff>76200</xdr:rowOff>
    </xdr:from>
    <xdr:to>
      <xdr:col>12</xdr:col>
      <xdr:colOff>38100</xdr:colOff>
      <xdr:row>57</xdr:row>
      <xdr:rowOff>95250</xdr:rowOff>
    </xdr:to>
    <xdr:sp macro="" textlink="">
      <xdr:nvSpPr>
        <xdr:cNvPr id="11595" name="Text Box 331">
          <a:extLst>
            <a:ext uri="{FF2B5EF4-FFF2-40B4-BE49-F238E27FC236}">
              <a16:creationId xmlns:a16="http://schemas.microsoft.com/office/drawing/2014/main" id="{00000000-0008-0000-0000-00004B2D0000}"/>
            </a:ext>
          </a:extLst>
        </xdr:cNvPr>
        <xdr:cNvSpPr txBox="1">
          <a:spLocks noChangeArrowheads="1"/>
        </xdr:cNvSpPr>
      </xdr:nvSpPr>
      <xdr:spPr bwMode="auto">
        <a:xfrm>
          <a:off x="6343650" y="9620250"/>
          <a:ext cx="1104900" cy="504825"/>
        </a:xfrm>
        <a:prstGeom prst="rect">
          <a:avLst/>
        </a:prstGeom>
        <a:noFill/>
        <a:ln w="9525">
          <a:noFill/>
          <a:miter lim="800000"/>
          <a:headEnd/>
          <a:tailEnd/>
        </a:ln>
      </xdr:spPr>
      <xdr:txBody>
        <a:bodyPr vertOverflow="clip" wrap="square" lIns="91440" tIns="45720" rIns="91440" bIns="45720" anchor="t" upright="1"/>
        <a:lstStyle/>
        <a:p>
          <a:pPr algn="l" rtl="0">
            <a:lnSpc>
              <a:spcPts val="600"/>
            </a:lnSpc>
            <a:defRPr sz="1000"/>
          </a:pPr>
          <a:r>
            <a:rPr lang="en-US" sz="800" b="0" i="0" u="none" strike="noStrike" baseline="0">
              <a:solidFill>
                <a:srgbClr val="000000"/>
              </a:solidFill>
              <a:latin typeface="Arial"/>
              <a:cs typeface="Arial"/>
            </a:rPr>
            <a:t>For each security, enter</a:t>
          </a:r>
          <a:r>
            <a:rPr lang="en-US" sz="800" b="0" i="1" u="none" strike="noStrike" baseline="0">
              <a:solidFill>
                <a:srgbClr val="333399"/>
              </a:solidFill>
              <a:latin typeface="Arial"/>
              <a:cs typeface="Arial"/>
            </a:rPr>
            <a:t>Value, State, and Occupancy Type</a:t>
          </a:r>
          <a:endParaRPr lang="en-US" sz="800" b="0" i="0" u="none" strike="noStrike" baseline="0">
            <a:solidFill>
              <a:srgbClr val="000000"/>
            </a:solidFill>
            <a:latin typeface="Arial"/>
            <a:cs typeface="Arial"/>
          </a:endParaRPr>
        </a:p>
        <a:p>
          <a:pPr algn="l" rtl="0">
            <a:lnSpc>
              <a:spcPts val="800"/>
            </a:lnSpc>
            <a:defRPr sz="1000"/>
          </a:pPr>
          <a:endParaRPr lang="en-US" sz="800" b="0" i="0" u="none" strike="noStrike" baseline="0">
            <a:solidFill>
              <a:srgbClr val="000000"/>
            </a:solidFill>
            <a:latin typeface="Arial"/>
            <a:cs typeface="Arial"/>
          </a:endParaRPr>
        </a:p>
      </xdr:txBody>
    </xdr:sp>
    <xdr:clientData/>
  </xdr:twoCellAnchor>
  <xdr:oneCellAnchor>
    <xdr:from>
      <xdr:col>10</xdr:col>
      <xdr:colOff>28575</xdr:colOff>
      <xdr:row>54</xdr:row>
      <xdr:rowOff>76200</xdr:rowOff>
    </xdr:from>
    <xdr:ext cx="270267" cy="246221"/>
    <xdr:sp macro="" textlink="">
      <xdr:nvSpPr>
        <xdr:cNvPr id="11596" name="Text Box 332">
          <a:extLst>
            <a:ext uri="{FF2B5EF4-FFF2-40B4-BE49-F238E27FC236}">
              <a16:creationId xmlns:a16="http://schemas.microsoft.com/office/drawing/2014/main" id="{00000000-0008-0000-0000-00004C2D0000}"/>
            </a:ext>
          </a:extLst>
        </xdr:cNvPr>
        <xdr:cNvSpPr txBox="1">
          <a:spLocks noChangeArrowheads="1"/>
        </xdr:cNvSpPr>
      </xdr:nvSpPr>
      <xdr:spPr bwMode="auto">
        <a:xfrm>
          <a:off x="6181725" y="9620250"/>
          <a:ext cx="270267"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9.</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xdr:from>
      <xdr:col>10</xdr:col>
      <xdr:colOff>257175</xdr:colOff>
      <xdr:row>58</xdr:row>
      <xdr:rowOff>114300</xdr:rowOff>
    </xdr:from>
    <xdr:to>
      <xdr:col>12</xdr:col>
      <xdr:colOff>200025</xdr:colOff>
      <xdr:row>61</xdr:row>
      <xdr:rowOff>9525</xdr:rowOff>
    </xdr:to>
    <xdr:sp macro="" textlink="">
      <xdr:nvSpPr>
        <xdr:cNvPr id="11601" name="Text Box 337">
          <a:extLst>
            <a:ext uri="{FF2B5EF4-FFF2-40B4-BE49-F238E27FC236}">
              <a16:creationId xmlns:a16="http://schemas.microsoft.com/office/drawing/2014/main" id="{00000000-0008-0000-0000-0000512D0000}"/>
            </a:ext>
          </a:extLst>
        </xdr:cNvPr>
        <xdr:cNvSpPr txBox="1">
          <a:spLocks noChangeArrowheads="1"/>
        </xdr:cNvSpPr>
      </xdr:nvSpPr>
      <xdr:spPr bwMode="auto">
        <a:xfrm>
          <a:off x="6410325" y="10344150"/>
          <a:ext cx="1200150" cy="3810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333399"/>
              </a:solidFill>
              <a:latin typeface="Arial"/>
              <a:cs typeface="Arial"/>
            </a:rPr>
            <a:t>LVR </a:t>
          </a:r>
          <a:r>
            <a:rPr lang="en-US" sz="800" b="0" i="0" u="none" strike="noStrike" baseline="0">
              <a:solidFill>
                <a:srgbClr val="000000"/>
              </a:solidFill>
              <a:latin typeface="Arial"/>
              <a:cs typeface="Arial"/>
            </a:rPr>
            <a:t>(Loan to Value Ratio)</a:t>
          </a:r>
        </a:p>
        <a:p>
          <a:pPr algn="l" rtl="0">
            <a:lnSpc>
              <a:spcPts val="800"/>
            </a:lnSpc>
            <a:defRPr sz="1000"/>
          </a:pPr>
          <a:endParaRPr lang="en-US" sz="800" b="0" i="0" u="none" strike="noStrike" baseline="0">
            <a:solidFill>
              <a:srgbClr val="000000"/>
            </a:solidFill>
            <a:latin typeface="Arial"/>
            <a:cs typeface="Arial"/>
          </a:endParaRPr>
        </a:p>
      </xdr:txBody>
    </xdr:sp>
    <xdr:clientData/>
  </xdr:twoCellAnchor>
  <xdr:oneCellAnchor>
    <xdr:from>
      <xdr:col>10</xdr:col>
      <xdr:colOff>47625</xdr:colOff>
      <xdr:row>59</xdr:row>
      <xdr:rowOff>9525</xdr:rowOff>
    </xdr:from>
    <xdr:ext cx="327334" cy="233397"/>
    <xdr:sp macro="" textlink="">
      <xdr:nvSpPr>
        <xdr:cNvPr id="11602" name="Text Box 338">
          <a:extLst>
            <a:ext uri="{FF2B5EF4-FFF2-40B4-BE49-F238E27FC236}">
              <a16:creationId xmlns:a16="http://schemas.microsoft.com/office/drawing/2014/main" id="{00000000-0008-0000-0000-0000522D0000}"/>
            </a:ext>
          </a:extLst>
        </xdr:cNvPr>
        <xdr:cNvSpPr txBox="1">
          <a:spLocks noChangeArrowheads="1"/>
        </xdr:cNvSpPr>
      </xdr:nvSpPr>
      <xdr:spPr bwMode="auto">
        <a:xfrm>
          <a:off x="6200775" y="10401300"/>
          <a:ext cx="327334" cy="233397"/>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10.</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editAs="oneCell">
    <xdr:from>
      <xdr:col>10</xdr:col>
      <xdr:colOff>266700</xdr:colOff>
      <xdr:row>60</xdr:row>
      <xdr:rowOff>114300</xdr:rowOff>
    </xdr:from>
    <xdr:to>
      <xdr:col>12</xdr:col>
      <xdr:colOff>76200</xdr:colOff>
      <xdr:row>63</xdr:row>
      <xdr:rowOff>0</xdr:rowOff>
    </xdr:to>
    <xdr:sp macro="" textlink="">
      <xdr:nvSpPr>
        <xdr:cNvPr id="11603" name="Text Box 339">
          <a:extLst>
            <a:ext uri="{FF2B5EF4-FFF2-40B4-BE49-F238E27FC236}">
              <a16:creationId xmlns:a16="http://schemas.microsoft.com/office/drawing/2014/main" id="{00000000-0008-0000-0000-0000532D0000}"/>
            </a:ext>
          </a:extLst>
        </xdr:cNvPr>
        <xdr:cNvSpPr txBox="1">
          <a:spLocks noChangeArrowheads="1"/>
        </xdr:cNvSpPr>
      </xdr:nvSpPr>
      <xdr:spPr bwMode="auto">
        <a:xfrm>
          <a:off x="6419850" y="10668000"/>
          <a:ext cx="1066800" cy="37147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333399"/>
              </a:solidFill>
              <a:latin typeface="Arial"/>
              <a:cs typeface="Arial"/>
            </a:rPr>
            <a:t>Premium for total loan amt. </a:t>
          </a:r>
          <a:endParaRPr lang="en-US" sz="800" b="0" i="0" u="none" strike="noStrike" baseline="0">
            <a:solidFill>
              <a:srgbClr val="000000"/>
            </a:solidFill>
            <a:latin typeface="Arial"/>
            <a:cs typeface="Arial"/>
          </a:endParaRPr>
        </a:p>
        <a:p>
          <a:pPr algn="l" rtl="0">
            <a:lnSpc>
              <a:spcPts val="800"/>
            </a:lnSpc>
            <a:defRPr sz="1000"/>
          </a:pPr>
          <a:endParaRPr lang="en-US" sz="800" b="0" i="0" u="none" strike="noStrike" baseline="0">
            <a:solidFill>
              <a:srgbClr val="000000"/>
            </a:solidFill>
            <a:latin typeface="Arial"/>
            <a:cs typeface="Arial"/>
          </a:endParaRPr>
        </a:p>
      </xdr:txBody>
    </xdr:sp>
    <xdr:clientData/>
  </xdr:twoCellAnchor>
  <xdr:twoCellAnchor editAs="oneCell">
    <xdr:from>
      <xdr:col>10</xdr:col>
      <xdr:colOff>47625</xdr:colOff>
      <xdr:row>61</xdr:row>
      <xdr:rowOff>9525</xdr:rowOff>
    </xdr:from>
    <xdr:to>
      <xdr:col>10</xdr:col>
      <xdr:colOff>381000</xdr:colOff>
      <xdr:row>62</xdr:row>
      <xdr:rowOff>66675</xdr:rowOff>
    </xdr:to>
    <xdr:sp macro="" textlink="">
      <xdr:nvSpPr>
        <xdr:cNvPr id="11604" name="Text Box 340">
          <a:extLst>
            <a:ext uri="{FF2B5EF4-FFF2-40B4-BE49-F238E27FC236}">
              <a16:creationId xmlns:a16="http://schemas.microsoft.com/office/drawing/2014/main" id="{00000000-0008-0000-0000-0000542D0000}"/>
            </a:ext>
          </a:extLst>
        </xdr:cNvPr>
        <xdr:cNvSpPr txBox="1">
          <a:spLocks noChangeArrowheads="1"/>
        </xdr:cNvSpPr>
      </xdr:nvSpPr>
      <xdr:spPr bwMode="auto">
        <a:xfrm>
          <a:off x="6200775" y="10725150"/>
          <a:ext cx="333375" cy="219075"/>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11.</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10</xdr:col>
      <xdr:colOff>266700</xdr:colOff>
      <xdr:row>64</xdr:row>
      <xdr:rowOff>104775</xdr:rowOff>
    </xdr:from>
    <xdr:to>
      <xdr:col>12</xdr:col>
      <xdr:colOff>257175</xdr:colOff>
      <xdr:row>70</xdr:row>
      <xdr:rowOff>76200</xdr:rowOff>
    </xdr:to>
    <xdr:sp macro="" textlink="">
      <xdr:nvSpPr>
        <xdr:cNvPr id="11605" name="Text Box 341">
          <a:extLst>
            <a:ext uri="{FF2B5EF4-FFF2-40B4-BE49-F238E27FC236}">
              <a16:creationId xmlns:a16="http://schemas.microsoft.com/office/drawing/2014/main" id="{00000000-0008-0000-0000-0000552D0000}"/>
            </a:ext>
          </a:extLst>
        </xdr:cNvPr>
        <xdr:cNvSpPr txBox="1">
          <a:spLocks noChangeArrowheads="1"/>
        </xdr:cNvSpPr>
      </xdr:nvSpPr>
      <xdr:spPr bwMode="auto">
        <a:xfrm>
          <a:off x="6419850" y="11306175"/>
          <a:ext cx="1247775" cy="94297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333399"/>
              </a:solidFill>
              <a:latin typeface="Arial"/>
              <a:cs typeface="Arial"/>
            </a:rPr>
            <a:t>Stamp Duty </a:t>
          </a:r>
          <a:r>
            <a:rPr lang="en-US" sz="800" b="0" i="0" u="none" strike="noStrike" baseline="0">
              <a:solidFill>
                <a:srgbClr val="000000"/>
              </a:solidFill>
              <a:latin typeface="Arial"/>
              <a:cs typeface="Arial"/>
            </a:rPr>
            <a:t>(Calculated differently for each state security property is located in)</a:t>
          </a:r>
          <a:r>
            <a:rPr lang="en-US" sz="800" b="0" i="1" u="none" strike="noStrike" baseline="0">
              <a:solidFill>
                <a:srgbClr val="000000"/>
              </a:solidFill>
              <a:latin typeface="Arial"/>
              <a:cs typeface="Arial"/>
            </a:rPr>
            <a:t> </a:t>
          </a:r>
          <a:endParaRPr lang="en-US" sz="800" b="0" i="0" u="none" strike="noStrike" baseline="0">
            <a:solidFill>
              <a:srgbClr val="000000"/>
            </a:solidFill>
            <a:latin typeface="Arial"/>
            <a:cs typeface="Arial"/>
          </a:endParaRPr>
        </a:p>
        <a:p>
          <a:pPr algn="l" rtl="0">
            <a:defRPr sz="1000"/>
          </a:pPr>
          <a:endParaRPr lang="en-US" sz="800" b="0" i="0" u="none" strike="noStrike" baseline="0">
            <a:solidFill>
              <a:srgbClr val="000000"/>
            </a:solidFill>
            <a:latin typeface="Arial"/>
            <a:cs typeface="Arial"/>
          </a:endParaRPr>
        </a:p>
      </xdr:txBody>
    </xdr:sp>
    <xdr:clientData/>
  </xdr:twoCellAnchor>
  <xdr:twoCellAnchor editAs="oneCell">
    <xdr:from>
      <xdr:col>10</xdr:col>
      <xdr:colOff>47625</xdr:colOff>
      <xdr:row>62</xdr:row>
      <xdr:rowOff>142875</xdr:rowOff>
    </xdr:from>
    <xdr:to>
      <xdr:col>10</xdr:col>
      <xdr:colOff>381000</xdr:colOff>
      <xdr:row>64</xdr:row>
      <xdr:rowOff>66675</xdr:rowOff>
    </xdr:to>
    <xdr:sp macro="" textlink="">
      <xdr:nvSpPr>
        <xdr:cNvPr id="11606" name="Text Box 342">
          <a:extLst>
            <a:ext uri="{FF2B5EF4-FFF2-40B4-BE49-F238E27FC236}">
              <a16:creationId xmlns:a16="http://schemas.microsoft.com/office/drawing/2014/main" id="{00000000-0008-0000-0000-0000562D0000}"/>
            </a:ext>
          </a:extLst>
        </xdr:cNvPr>
        <xdr:cNvSpPr txBox="1">
          <a:spLocks noChangeArrowheads="1"/>
        </xdr:cNvSpPr>
      </xdr:nvSpPr>
      <xdr:spPr bwMode="auto">
        <a:xfrm>
          <a:off x="6200775" y="11020425"/>
          <a:ext cx="333375" cy="247650"/>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12.</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10</xdr:col>
      <xdr:colOff>247650</xdr:colOff>
      <xdr:row>68</xdr:row>
      <xdr:rowOff>114300</xdr:rowOff>
    </xdr:from>
    <xdr:to>
      <xdr:col>12</xdr:col>
      <xdr:colOff>314325</xdr:colOff>
      <xdr:row>72</xdr:row>
      <xdr:rowOff>47625</xdr:rowOff>
    </xdr:to>
    <xdr:sp macro="" textlink="">
      <xdr:nvSpPr>
        <xdr:cNvPr id="11607" name="Text Box 343">
          <a:extLst>
            <a:ext uri="{FF2B5EF4-FFF2-40B4-BE49-F238E27FC236}">
              <a16:creationId xmlns:a16="http://schemas.microsoft.com/office/drawing/2014/main" id="{00000000-0008-0000-0000-0000572D0000}"/>
            </a:ext>
          </a:extLst>
        </xdr:cNvPr>
        <xdr:cNvSpPr txBox="1">
          <a:spLocks noChangeArrowheads="1"/>
        </xdr:cNvSpPr>
      </xdr:nvSpPr>
      <xdr:spPr bwMode="auto">
        <a:xfrm>
          <a:off x="6400800" y="11963400"/>
          <a:ext cx="1323975" cy="5810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0000FF"/>
              </a:solidFill>
              <a:latin typeface="Arial"/>
              <a:cs typeface="Arial"/>
            </a:rPr>
            <a:t>Premium Breakdown</a:t>
          </a:r>
          <a:r>
            <a:rPr lang="en-US" sz="800" b="0" i="0" u="none" strike="noStrike" baseline="0">
              <a:solidFill>
                <a:srgbClr val="000000"/>
              </a:solidFill>
              <a:latin typeface="Arial"/>
              <a:cs typeface="Arial"/>
            </a:rPr>
            <a:t> (GST is shown separately)</a:t>
          </a:r>
        </a:p>
        <a:p>
          <a:pPr algn="l" rtl="0">
            <a:defRPr sz="1000"/>
          </a:pPr>
          <a:endParaRPr lang="en-US" sz="800" b="0" i="0" u="none" strike="noStrike" baseline="0">
            <a:solidFill>
              <a:srgbClr val="000000"/>
            </a:solidFill>
            <a:latin typeface="Arial"/>
            <a:cs typeface="Arial"/>
          </a:endParaRPr>
        </a:p>
      </xdr:txBody>
    </xdr:sp>
    <xdr:clientData/>
  </xdr:twoCellAnchor>
  <xdr:twoCellAnchor editAs="oneCell">
    <xdr:from>
      <xdr:col>10</xdr:col>
      <xdr:colOff>28575</xdr:colOff>
      <xdr:row>65</xdr:row>
      <xdr:rowOff>9525</xdr:rowOff>
    </xdr:from>
    <xdr:to>
      <xdr:col>10</xdr:col>
      <xdr:colOff>361950</xdr:colOff>
      <xdr:row>66</xdr:row>
      <xdr:rowOff>95250</xdr:rowOff>
    </xdr:to>
    <xdr:sp macro="" textlink="">
      <xdr:nvSpPr>
        <xdr:cNvPr id="11608" name="Text Box 344">
          <a:extLst>
            <a:ext uri="{FF2B5EF4-FFF2-40B4-BE49-F238E27FC236}">
              <a16:creationId xmlns:a16="http://schemas.microsoft.com/office/drawing/2014/main" id="{00000000-0008-0000-0000-0000582D0000}"/>
            </a:ext>
          </a:extLst>
        </xdr:cNvPr>
        <xdr:cNvSpPr txBox="1">
          <a:spLocks noChangeArrowheads="1"/>
        </xdr:cNvSpPr>
      </xdr:nvSpPr>
      <xdr:spPr bwMode="auto">
        <a:xfrm>
          <a:off x="6181725" y="11372850"/>
          <a:ext cx="333375" cy="247650"/>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13.</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10</xdr:col>
      <xdr:colOff>228600</xdr:colOff>
      <xdr:row>71</xdr:row>
      <xdr:rowOff>142875</xdr:rowOff>
    </xdr:from>
    <xdr:to>
      <xdr:col>12</xdr:col>
      <xdr:colOff>219075</xdr:colOff>
      <xdr:row>75</xdr:row>
      <xdr:rowOff>123825</xdr:rowOff>
    </xdr:to>
    <xdr:sp macro="" textlink="">
      <xdr:nvSpPr>
        <xdr:cNvPr id="11609" name="Text Box 345">
          <a:extLst>
            <a:ext uri="{FF2B5EF4-FFF2-40B4-BE49-F238E27FC236}">
              <a16:creationId xmlns:a16="http://schemas.microsoft.com/office/drawing/2014/main" id="{00000000-0008-0000-0000-0000592D0000}"/>
            </a:ext>
          </a:extLst>
        </xdr:cNvPr>
        <xdr:cNvSpPr txBox="1">
          <a:spLocks noChangeArrowheads="1"/>
        </xdr:cNvSpPr>
      </xdr:nvSpPr>
      <xdr:spPr bwMode="auto">
        <a:xfrm>
          <a:off x="6381750" y="12477750"/>
          <a:ext cx="1247775" cy="62865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0000FF"/>
              </a:solidFill>
              <a:latin typeface="Arial"/>
              <a:cs typeface="Arial"/>
            </a:rPr>
            <a:t>Total</a:t>
          </a:r>
          <a:r>
            <a:rPr lang="en-US" sz="800" b="0" i="0" u="none" strike="noStrike" baseline="0">
              <a:solidFill>
                <a:srgbClr val="000000"/>
              </a:solidFill>
              <a:latin typeface="Arial"/>
              <a:cs typeface="Arial"/>
            </a:rPr>
            <a:t> (Premium + Stamp Duty payable by Lender)</a:t>
          </a:r>
        </a:p>
        <a:p>
          <a:pPr algn="l" rtl="0">
            <a:defRPr sz="1000"/>
          </a:pPr>
          <a:endParaRPr lang="en-US" sz="800" b="0" i="0" u="none" strike="noStrike" baseline="0">
            <a:solidFill>
              <a:srgbClr val="000000"/>
            </a:solidFill>
            <a:latin typeface="Arial"/>
            <a:cs typeface="Arial"/>
          </a:endParaRPr>
        </a:p>
      </xdr:txBody>
    </xdr:sp>
    <xdr:clientData/>
  </xdr:twoCellAnchor>
  <xdr:twoCellAnchor editAs="oneCell">
    <xdr:from>
      <xdr:col>10</xdr:col>
      <xdr:colOff>19050</xdr:colOff>
      <xdr:row>69</xdr:row>
      <xdr:rowOff>9525</xdr:rowOff>
    </xdr:from>
    <xdr:to>
      <xdr:col>10</xdr:col>
      <xdr:colOff>352425</xdr:colOff>
      <xdr:row>70</xdr:row>
      <xdr:rowOff>95250</xdr:rowOff>
    </xdr:to>
    <xdr:sp macro="" textlink="">
      <xdr:nvSpPr>
        <xdr:cNvPr id="11610" name="Text Box 346">
          <a:extLst>
            <a:ext uri="{FF2B5EF4-FFF2-40B4-BE49-F238E27FC236}">
              <a16:creationId xmlns:a16="http://schemas.microsoft.com/office/drawing/2014/main" id="{00000000-0008-0000-0000-00005A2D0000}"/>
            </a:ext>
          </a:extLst>
        </xdr:cNvPr>
        <xdr:cNvSpPr txBox="1">
          <a:spLocks noChangeArrowheads="1"/>
        </xdr:cNvSpPr>
      </xdr:nvSpPr>
      <xdr:spPr bwMode="auto">
        <a:xfrm>
          <a:off x="6172200" y="12020550"/>
          <a:ext cx="333375" cy="247650"/>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14.</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9</xdr:col>
      <xdr:colOff>258409</xdr:colOff>
      <xdr:row>69</xdr:row>
      <xdr:rowOff>111665</xdr:rowOff>
    </xdr:from>
    <xdr:to>
      <xdr:col>10</xdr:col>
      <xdr:colOff>103541</xdr:colOff>
      <xdr:row>71</xdr:row>
      <xdr:rowOff>21687</xdr:rowOff>
    </xdr:to>
    <xdr:sp macro="" textlink="">
      <xdr:nvSpPr>
        <xdr:cNvPr id="6267" name="Line 347">
          <a:extLst>
            <a:ext uri="{FF2B5EF4-FFF2-40B4-BE49-F238E27FC236}">
              <a16:creationId xmlns:a16="http://schemas.microsoft.com/office/drawing/2014/main" id="{00000000-0008-0000-0000-00007B180000}"/>
            </a:ext>
          </a:extLst>
        </xdr:cNvPr>
        <xdr:cNvSpPr>
          <a:spLocks noChangeShapeType="1"/>
        </xdr:cNvSpPr>
      </xdr:nvSpPr>
      <xdr:spPr bwMode="auto">
        <a:xfrm rot="-10763314" flipH="1">
          <a:off x="5763859" y="12122690"/>
          <a:ext cx="492832" cy="233872"/>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165880</xdr:colOff>
      <xdr:row>69</xdr:row>
      <xdr:rowOff>80348</xdr:rowOff>
    </xdr:from>
    <xdr:to>
      <xdr:col>10</xdr:col>
      <xdr:colOff>119869</xdr:colOff>
      <xdr:row>72</xdr:row>
      <xdr:rowOff>81578</xdr:rowOff>
    </xdr:to>
    <xdr:sp macro="" textlink="">
      <xdr:nvSpPr>
        <xdr:cNvPr id="6268" name="Line 348">
          <a:extLst>
            <a:ext uri="{FF2B5EF4-FFF2-40B4-BE49-F238E27FC236}">
              <a16:creationId xmlns:a16="http://schemas.microsoft.com/office/drawing/2014/main" id="{00000000-0008-0000-0000-00007C180000}"/>
            </a:ext>
          </a:extLst>
        </xdr:cNvPr>
        <xdr:cNvSpPr>
          <a:spLocks noChangeShapeType="1"/>
        </xdr:cNvSpPr>
      </xdr:nvSpPr>
      <xdr:spPr bwMode="auto">
        <a:xfrm rot="-10726325" flipH="1" flipV="1">
          <a:off x="3213880" y="12091373"/>
          <a:ext cx="3059139" cy="487005"/>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200025</xdr:colOff>
      <xdr:row>59</xdr:row>
      <xdr:rowOff>47625</xdr:rowOff>
    </xdr:from>
    <xdr:to>
      <xdr:col>10</xdr:col>
      <xdr:colOff>95250</xdr:colOff>
      <xdr:row>66</xdr:row>
      <xdr:rowOff>38100</xdr:rowOff>
    </xdr:to>
    <xdr:sp macro="" textlink="">
      <xdr:nvSpPr>
        <xdr:cNvPr id="6270" name="Line 350">
          <a:extLst>
            <a:ext uri="{FF2B5EF4-FFF2-40B4-BE49-F238E27FC236}">
              <a16:creationId xmlns:a16="http://schemas.microsoft.com/office/drawing/2014/main" id="{00000000-0008-0000-0000-00007E180000}"/>
            </a:ext>
          </a:extLst>
        </xdr:cNvPr>
        <xdr:cNvSpPr>
          <a:spLocks noChangeShapeType="1"/>
        </xdr:cNvSpPr>
      </xdr:nvSpPr>
      <xdr:spPr bwMode="auto">
        <a:xfrm rot="10800000" flipH="1">
          <a:off x="3248025" y="10439400"/>
          <a:ext cx="3000375" cy="112395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200611</xdr:colOff>
      <xdr:row>61</xdr:row>
      <xdr:rowOff>78971</xdr:rowOff>
    </xdr:from>
    <xdr:to>
      <xdr:col>10</xdr:col>
      <xdr:colOff>104188</xdr:colOff>
      <xdr:row>67</xdr:row>
      <xdr:rowOff>6754</xdr:rowOff>
    </xdr:to>
    <xdr:sp macro="" textlink="">
      <xdr:nvSpPr>
        <xdr:cNvPr id="6271" name="Line 351">
          <a:extLst>
            <a:ext uri="{FF2B5EF4-FFF2-40B4-BE49-F238E27FC236}">
              <a16:creationId xmlns:a16="http://schemas.microsoft.com/office/drawing/2014/main" id="{00000000-0008-0000-0000-00007F180000}"/>
            </a:ext>
          </a:extLst>
        </xdr:cNvPr>
        <xdr:cNvSpPr>
          <a:spLocks noChangeShapeType="1"/>
        </xdr:cNvSpPr>
      </xdr:nvSpPr>
      <xdr:spPr bwMode="auto">
        <a:xfrm rot="10880458" flipH="1">
          <a:off x="3248611" y="10794596"/>
          <a:ext cx="3008727" cy="899333"/>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180975</xdr:colOff>
      <xdr:row>65</xdr:row>
      <xdr:rowOff>104776</xdr:rowOff>
    </xdr:from>
    <xdr:to>
      <xdr:col>10</xdr:col>
      <xdr:colOff>114300</xdr:colOff>
      <xdr:row>68</xdr:row>
      <xdr:rowOff>76201</xdr:rowOff>
    </xdr:to>
    <xdr:sp macro="" textlink="">
      <xdr:nvSpPr>
        <xdr:cNvPr id="6272" name="Line 352">
          <a:extLst>
            <a:ext uri="{FF2B5EF4-FFF2-40B4-BE49-F238E27FC236}">
              <a16:creationId xmlns:a16="http://schemas.microsoft.com/office/drawing/2014/main" id="{00000000-0008-0000-0000-000080180000}"/>
            </a:ext>
          </a:extLst>
        </xdr:cNvPr>
        <xdr:cNvSpPr>
          <a:spLocks noChangeShapeType="1"/>
        </xdr:cNvSpPr>
      </xdr:nvSpPr>
      <xdr:spPr bwMode="auto">
        <a:xfrm rot="10800000" flipH="1">
          <a:off x="3228975" y="11468101"/>
          <a:ext cx="3038475" cy="45720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126277</xdr:colOff>
      <xdr:row>55</xdr:row>
      <xdr:rowOff>39837</xdr:rowOff>
    </xdr:from>
    <xdr:to>
      <xdr:col>10</xdr:col>
      <xdr:colOff>178524</xdr:colOff>
      <xdr:row>59</xdr:row>
      <xdr:rowOff>7788</xdr:rowOff>
    </xdr:to>
    <xdr:sp macro="" textlink="">
      <xdr:nvSpPr>
        <xdr:cNvPr id="6273" name="Line 353">
          <a:extLst>
            <a:ext uri="{FF2B5EF4-FFF2-40B4-BE49-F238E27FC236}">
              <a16:creationId xmlns:a16="http://schemas.microsoft.com/office/drawing/2014/main" id="{00000000-0008-0000-0000-000081180000}"/>
            </a:ext>
          </a:extLst>
        </xdr:cNvPr>
        <xdr:cNvSpPr>
          <a:spLocks noChangeShapeType="1"/>
        </xdr:cNvSpPr>
      </xdr:nvSpPr>
      <xdr:spPr bwMode="auto">
        <a:xfrm rot="10827726" flipH="1">
          <a:off x="4403002" y="9783912"/>
          <a:ext cx="1928672" cy="615651"/>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257175</xdr:colOff>
      <xdr:row>70</xdr:row>
      <xdr:rowOff>142875</xdr:rowOff>
    </xdr:from>
    <xdr:to>
      <xdr:col>2</xdr:col>
      <xdr:colOff>428625</xdr:colOff>
      <xdr:row>74</xdr:row>
      <xdr:rowOff>133350</xdr:rowOff>
    </xdr:to>
    <xdr:sp macro="" textlink="">
      <xdr:nvSpPr>
        <xdr:cNvPr id="11618" name="Text Box 354">
          <a:extLst>
            <a:ext uri="{FF2B5EF4-FFF2-40B4-BE49-F238E27FC236}">
              <a16:creationId xmlns:a16="http://schemas.microsoft.com/office/drawing/2014/main" id="{00000000-0008-0000-0000-0000622D0000}"/>
            </a:ext>
          </a:extLst>
        </xdr:cNvPr>
        <xdr:cNvSpPr txBox="1">
          <a:spLocks noChangeArrowheads="1"/>
        </xdr:cNvSpPr>
      </xdr:nvSpPr>
      <xdr:spPr bwMode="auto">
        <a:xfrm>
          <a:off x="257175" y="12277725"/>
          <a:ext cx="1390650" cy="638175"/>
        </a:xfrm>
        <a:prstGeom prst="rect">
          <a:avLst/>
        </a:prstGeom>
        <a:noFill/>
        <a:ln w="9525">
          <a:noFill/>
          <a:miter lim="800000"/>
          <a:headEnd/>
          <a:tailEnd/>
        </a:ln>
      </xdr:spPr>
      <xdr:txBody>
        <a:bodyPr vertOverflow="clip" wrap="square" lIns="91440" tIns="45720" rIns="91440" bIns="45720" anchor="t" upright="1"/>
        <a:lstStyle/>
        <a:p>
          <a:pPr algn="l" rtl="0">
            <a:lnSpc>
              <a:spcPts val="700"/>
            </a:lnSpc>
            <a:defRPr sz="1000"/>
          </a:pPr>
          <a:r>
            <a:rPr lang="en-US" sz="800" b="0" i="0" u="none" strike="noStrike" baseline="0">
              <a:solidFill>
                <a:srgbClr val="000000"/>
              </a:solidFill>
              <a:latin typeface="Arial"/>
              <a:cs typeface="Arial"/>
            </a:rPr>
            <a:t>Select if borrower is a  </a:t>
          </a:r>
          <a:r>
            <a:rPr lang="en-US" sz="800" b="0" i="1" u="none" strike="noStrike" baseline="0">
              <a:solidFill>
                <a:srgbClr val="333399"/>
              </a:solidFill>
              <a:latin typeface="Arial"/>
              <a:cs typeface="Arial"/>
            </a:rPr>
            <a:t>First Home Buyer </a:t>
          </a:r>
          <a:endParaRPr lang="en-US" sz="800" b="0" i="0" u="none" strike="noStrike" baseline="0">
            <a:solidFill>
              <a:srgbClr val="000000"/>
            </a:solidFill>
            <a:latin typeface="Arial"/>
            <a:cs typeface="Arial"/>
          </a:endParaRPr>
        </a:p>
        <a:p>
          <a:pPr algn="l" rtl="0">
            <a:lnSpc>
              <a:spcPts val="1000"/>
            </a:lnSpc>
            <a:defRPr sz="1000"/>
          </a:pPr>
          <a:endParaRPr lang="en-US" sz="800" b="0" i="0" u="none" strike="noStrike" baseline="0">
            <a:solidFill>
              <a:srgbClr val="000000"/>
            </a:solidFill>
            <a:latin typeface="Arial"/>
            <a:cs typeface="Arial"/>
          </a:endParaRPr>
        </a:p>
      </xdr:txBody>
    </xdr:sp>
    <xdr:clientData/>
  </xdr:twoCellAnchor>
  <xdr:oneCellAnchor>
    <xdr:from>
      <xdr:col>0</xdr:col>
      <xdr:colOff>114300</xdr:colOff>
      <xdr:row>70</xdr:row>
      <xdr:rowOff>133350</xdr:rowOff>
    </xdr:from>
    <xdr:ext cx="270267" cy="246221"/>
    <xdr:sp macro="" textlink="">
      <xdr:nvSpPr>
        <xdr:cNvPr id="11619" name="Text Box 355">
          <a:extLst>
            <a:ext uri="{FF2B5EF4-FFF2-40B4-BE49-F238E27FC236}">
              <a16:creationId xmlns:a16="http://schemas.microsoft.com/office/drawing/2014/main" id="{00000000-0008-0000-0000-0000632D0000}"/>
            </a:ext>
          </a:extLst>
        </xdr:cNvPr>
        <xdr:cNvSpPr txBox="1">
          <a:spLocks noChangeArrowheads="1"/>
        </xdr:cNvSpPr>
      </xdr:nvSpPr>
      <xdr:spPr bwMode="auto">
        <a:xfrm>
          <a:off x="114300" y="12268200"/>
          <a:ext cx="270267"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7.</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xdr:from>
      <xdr:col>2</xdr:col>
      <xdr:colOff>161924</xdr:colOff>
      <xdr:row>63</xdr:row>
      <xdr:rowOff>142876</xdr:rowOff>
    </xdr:from>
    <xdr:to>
      <xdr:col>4</xdr:col>
      <xdr:colOff>304799</xdr:colOff>
      <xdr:row>71</xdr:row>
      <xdr:rowOff>66676</xdr:rowOff>
    </xdr:to>
    <xdr:sp macro="" textlink="">
      <xdr:nvSpPr>
        <xdr:cNvPr id="6276" name="Line 356">
          <a:extLst>
            <a:ext uri="{FF2B5EF4-FFF2-40B4-BE49-F238E27FC236}">
              <a16:creationId xmlns:a16="http://schemas.microsoft.com/office/drawing/2014/main" id="{00000000-0008-0000-0000-000084180000}"/>
            </a:ext>
          </a:extLst>
        </xdr:cNvPr>
        <xdr:cNvSpPr>
          <a:spLocks noChangeShapeType="1"/>
        </xdr:cNvSpPr>
      </xdr:nvSpPr>
      <xdr:spPr bwMode="auto">
        <a:xfrm rot="10800000" flipV="1">
          <a:off x="1381124" y="11182351"/>
          <a:ext cx="1362075" cy="121920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238125</xdr:colOff>
      <xdr:row>74</xdr:row>
      <xdr:rowOff>104775</xdr:rowOff>
    </xdr:from>
    <xdr:to>
      <xdr:col>2</xdr:col>
      <xdr:colOff>333375</xdr:colOff>
      <xdr:row>78</xdr:row>
      <xdr:rowOff>57150</xdr:rowOff>
    </xdr:to>
    <xdr:sp macro="" textlink="">
      <xdr:nvSpPr>
        <xdr:cNvPr id="11621" name="Text Box 357">
          <a:extLst>
            <a:ext uri="{FF2B5EF4-FFF2-40B4-BE49-F238E27FC236}">
              <a16:creationId xmlns:a16="http://schemas.microsoft.com/office/drawing/2014/main" id="{00000000-0008-0000-0000-0000652D0000}"/>
            </a:ext>
          </a:extLst>
        </xdr:cNvPr>
        <xdr:cNvSpPr txBox="1">
          <a:spLocks noChangeArrowheads="1"/>
        </xdr:cNvSpPr>
      </xdr:nvSpPr>
      <xdr:spPr bwMode="auto">
        <a:xfrm>
          <a:off x="238125" y="12887325"/>
          <a:ext cx="1314450" cy="600075"/>
        </a:xfrm>
        <a:prstGeom prst="rect">
          <a:avLst/>
        </a:prstGeom>
        <a:noFill/>
        <a:ln w="9525">
          <a:noFill/>
          <a:miter lim="800000"/>
          <a:headEnd/>
          <a:tailEnd/>
        </a:ln>
      </xdr:spPr>
      <xdr:txBody>
        <a:bodyPr vertOverflow="clip" wrap="square" lIns="91440" tIns="45720" rIns="91440" bIns="45720" anchor="t" upright="1"/>
        <a:lstStyle/>
        <a:p>
          <a:pPr algn="l" rtl="0">
            <a:lnSpc>
              <a:spcPts val="600"/>
            </a:lnSpc>
            <a:defRPr sz="1000"/>
          </a:pPr>
          <a:r>
            <a:rPr lang="en-US" sz="800" b="0" i="0" u="none" strike="noStrike" baseline="0">
              <a:solidFill>
                <a:srgbClr val="000000"/>
              </a:solidFill>
              <a:latin typeface="Arial"/>
              <a:cs typeface="Arial"/>
            </a:rPr>
            <a:t>Select </a:t>
          </a:r>
          <a:r>
            <a:rPr lang="en-US" sz="800" b="0" i="1" u="none" strike="noStrike" baseline="0">
              <a:solidFill>
                <a:srgbClr val="333399"/>
              </a:solidFill>
              <a:latin typeface="Arial"/>
              <a:cs typeface="Arial"/>
            </a:rPr>
            <a:t> Loan Term </a:t>
          </a:r>
          <a:r>
            <a:rPr lang="en-US" sz="800" b="0" i="0" u="none" strike="noStrike" baseline="0">
              <a:solidFill>
                <a:srgbClr val="000000"/>
              </a:solidFill>
              <a:latin typeface="Arial"/>
              <a:cs typeface="Arial"/>
            </a:rPr>
            <a:t> from the drop down menu.</a:t>
          </a:r>
        </a:p>
        <a:p>
          <a:pPr algn="l" rtl="0">
            <a:lnSpc>
              <a:spcPts val="800"/>
            </a:lnSpc>
            <a:defRPr sz="1000"/>
          </a:pPr>
          <a:endParaRPr lang="en-US" sz="800" b="0" i="0" u="none" strike="noStrike" baseline="0">
            <a:solidFill>
              <a:srgbClr val="000000"/>
            </a:solidFill>
            <a:latin typeface="Arial"/>
            <a:cs typeface="Arial"/>
          </a:endParaRPr>
        </a:p>
      </xdr:txBody>
    </xdr:sp>
    <xdr:clientData/>
  </xdr:twoCellAnchor>
  <xdr:twoCellAnchor editAs="oneCell">
    <xdr:from>
      <xdr:col>0</xdr:col>
      <xdr:colOff>95250</xdr:colOff>
      <xdr:row>74</xdr:row>
      <xdr:rowOff>85725</xdr:rowOff>
    </xdr:from>
    <xdr:to>
      <xdr:col>0</xdr:col>
      <xdr:colOff>371475</xdr:colOff>
      <xdr:row>77</xdr:row>
      <xdr:rowOff>28575</xdr:rowOff>
    </xdr:to>
    <xdr:sp macro="" textlink="">
      <xdr:nvSpPr>
        <xdr:cNvPr id="11622" name="Text Box 358">
          <a:extLst>
            <a:ext uri="{FF2B5EF4-FFF2-40B4-BE49-F238E27FC236}">
              <a16:creationId xmlns:a16="http://schemas.microsoft.com/office/drawing/2014/main" id="{00000000-0008-0000-0000-0000662D0000}"/>
            </a:ext>
          </a:extLst>
        </xdr:cNvPr>
        <xdr:cNvSpPr txBox="1">
          <a:spLocks noChangeArrowheads="1"/>
        </xdr:cNvSpPr>
      </xdr:nvSpPr>
      <xdr:spPr bwMode="auto">
        <a:xfrm>
          <a:off x="95250" y="12868275"/>
          <a:ext cx="276225" cy="428625"/>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8.</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2</xdr:col>
      <xdr:colOff>95249</xdr:colOff>
      <xdr:row>64</xdr:row>
      <xdr:rowOff>66675</xdr:rowOff>
    </xdr:from>
    <xdr:to>
      <xdr:col>4</xdr:col>
      <xdr:colOff>485774</xdr:colOff>
      <xdr:row>74</xdr:row>
      <xdr:rowOff>142875</xdr:rowOff>
    </xdr:to>
    <xdr:sp macro="" textlink="">
      <xdr:nvSpPr>
        <xdr:cNvPr id="6279" name="Line 359">
          <a:extLst>
            <a:ext uri="{FF2B5EF4-FFF2-40B4-BE49-F238E27FC236}">
              <a16:creationId xmlns:a16="http://schemas.microsoft.com/office/drawing/2014/main" id="{00000000-0008-0000-0000-000087180000}"/>
            </a:ext>
          </a:extLst>
        </xdr:cNvPr>
        <xdr:cNvSpPr>
          <a:spLocks noChangeShapeType="1"/>
        </xdr:cNvSpPr>
      </xdr:nvSpPr>
      <xdr:spPr bwMode="auto">
        <a:xfrm rot="10800000" flipV="1">
          <a:off x="1314449" y="11268075"/>
          <a:ext cx="1609725" cy="169545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0</xdr:col>
      <xdr:colOff>333375</xdr:colOff>
      <xdr:row>59</xdr:row>
      <xdr:rowOff>28575</xdr:rowOff>
    </xdr:from>
    <xdr:ext cx="1068882" cy="246221"/>
    <xdr:sp macro="" textlink="">
      <xdr:nvSpPr>
        <xdr:cNvPr id="11624" name="Text Box 360">
          <a:extLst>
            <a:ext uri="{FF2B5EF4-FFF2-40B4-BE49-F238E27FC236}">
              <a16:creationId xmlns:a16="http://schemas.microsoft.com/office/drawing/2014/main" id="{00000000-0008-0000-0000-0000682D0000}"/>
            </a:ext>
          </a:extLst>
        </xdr:cNvPr>
        <xdr:cNvSpPr txBox="1">
          <a:spLocks noChangeArrowheads="1"/>
        </xdr:cNvSpPr>
      </xdr:nvSpPr>
      <xdr:spPr bwMode="auto">
        <a:xfrm>
          <a:off x="333375" y="10420350"/>
          <a:ext cx="1068882"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000000"/>
              </a:solidFill>
              <a:latin typeface="Arial"/>
              <a:cs typeface="Arial"/>
            </a:rPr>
            <a:t>Enter Loan Amount</a:t>
          </a:r>
        </a:p>
        <a:p>
          <a:pPr algn="l" rtl="0">
            <a:lnSpc>
              <a:spcPts val="700"/>
            </a:lnSpc>
            <a:defRPr sz="1000"/>
          </a:pPr>
          <a:endParaRPr lang="en-US" sz="800" b="0" i="0" u="none" strike="noStrike" baseline="0">
            <a:solidFill>
              <a:srgbClr val="000000"/>
            </a:solidFill>
            <a:latin typeface="Arial"/>
            <a:cs typeface="Arial"/>
          </a:endParaRPr>
        </a:p>
      </xdr:txBody>
    </xdr:sp>
    <xdr:clientData/>
  </xdr:oneCellAnchor>
  <xdr:oneCellAnchor>
    <xdr:from>
      <xdr:col>0</xdr:col>
      <xdr:colOff>123825</xdr:colOff>
      <xdr:row>60</xdr:row>
      <xdr:rowOff>85725</xdr:rowOff>
    </xdr:from>
    <xdr:ext cx="270267" cy="246221"/>
    <xdr:sp macro="" textlink="">
      <xdr:nvSpPr>
        <xdr:cNvPr id="11625" name="Text Box 361">
          <a:extLst>
            <a:ext uri="{FF2B5EF4-FFF2-40B4-BE49-F238E27FC236}">
              <a16:creationId xmlns:a16="http://schemas.microsoft.com/office/drawing/2014/main" id="{00000000-0008-0000-0000-0000692D0000}"/>
            </a:ext>
          </a:extLst>
        </xdr:cNvPr>
        <xdr:cNvSpPr txBox="1">
          <a:spLocks noChangeArrowheads="1"/>
        </xdr:cNvSpPr>
      </xdr:nvSpPr>
      <xdr:spPr bwMode="auto">
        <a:xfrm>
          <a:off x="123825" y="10639425"/>
          <a:ext cx="270267" cy="246221"/>
        </a:xfrm>
        <a:prstGeom prst="rect">
          <a:avLst/>
        </a:prstGeom>
        <a:noFill/>
        <a:ln w="9525">
          <a:noFill/>
          <a:miter lim="800000"/>
          <a:headEnd/>
          <a:tailEnd/>
        </a:ln>
      </xdr:spPr>
      <xdr:txBody>
        <a:bodyPr wrap="none" lIns="91440" tIns="45720" rIns="91440" bIns="45720" anchor="t" upright="1">
          <a:spAutoFit/>
        </a:bodyPr>
        <a:lstStyle/>
        <a:p>
          <a:pPr algn="l" rtl="0">
            <a:lnSpc>
              <a:spcPts val="400"/>
            </a:lnSpc>
            <a:defRPr sz="1000"/>
          </a:pPr>
          <a:r>
            <a:rPr lang="en-US" sz="800" b="0" i="0" u="none" strike="noStrike" baseline="0">
              <a:solidFill>
                <a:srgbClr val="FF0000"/>
              </a:solidFill>
              <a:latin typeface="Arial"/>
              <a:cs typeface="Arial"/>
            </a:rPr>
            <a:t>4.</a:t>
          </a:r>
        </a:p>
        <a:p>
          <a:pPr algn="l" rtl="0">
            <a:lnSpc>
              <a:spcPts val="700"/>
            </a:lnSpc>
            <a:defRPr sz="1000"/>
          </a:pPr>
          <a:endParaRPr lang="en-US" sz="800" b="0" i="0" u="none" strike="noStrike" baseline="0">
            <a:solidFill>
              <a:srgbClr val="FF0000"/>
            </a:solidFill>
            <a:latin typeface="Arial"/>
            <a:cs typeface="Arial"/>
          </a:endParaRPr>
        </a:p>
      </xdr:txBody>
    </xdr:sp>
    <xdr:clientData/>
  </xdr:oneCellAnchor>
  <xdr:twoCellAnchor>
    <xdr:from>
      <xdr:col>2</xdr:col>
      <xdr:colOff>180975</xdr:colOff>
      <xdr:row>60</xdr:row>
      <xdr:rowOff>133349</xdr:rowOff>
    </xdr:from>
    <xdr:to>
      <xdr:col>4</xdr:col>
      <xdr:colOff>381000</xdr:colOff>
      <xdr:row>61</xdr:row>
      <xdr:rowOff>161924</xdr:rowOff>
    </xdr:to>
    <xdr:sp macro="" textlink="">
      <xdr:nvSpPr>
        <xdr:cNvPr id="6282" name="Line 362">
          <a:extLst>
            <a:ext uri="{FF2B5EF4-FFF2-40B4-BE49-F238E27FC236}">
              <a16:creationId xmlns:a16="http://schemas.microsoft.com/office/drawing/2014/main" id="{00000000-0008-0000-0000-00008A180000}"/>
            </a:ext>
          </a:extLst>
        </xdr:cNvPr>
        <xdr:cNvSpPr>
          <a:spLocks noChangeShapeType="1"/>
        </xdr:cNvSpPr>
      </xdr:nvSpPr>
      <xdr:spPr bwMode="auto">
        <a:xfrm rot="10800000">
          <a:off x="1400175" y="10687049"/>
          <a:ext cx="1419225" cy="19050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10</xdr:col>
      <xdr:colOff>257175</xdr:colOff>
      <xdr:row>62</xdr:row>
      <xdr:rowOff>85725</xdr:rowOff>
    </xdr:from>
    <xdr:to>
      <xdr:col>12</xdr:col>
      <xdr:colOff>9525</xdr:colOff>
      <xdr:row>65</xdr:row>
      <xdr:rowOff>9525</xdr:rowOff>
    </xdr:to>
    <xdr:sp macro="" textlink="">
      <xdr:nvSpPr>
        <xdr:cNvPr id="11629" name="Text Box 365">
          <a:extLst>
            <a:ext uri="{FF2B5EF4-FFF2-40B4-BE49-F238E27FC236}">
              <a16:creationId xmlns:a16="http://schemas.microsoft.com/office/drawing/2014/main" id="{00000000-0008-0000-0000-00006D2D0000}"/>
            </a:ext>
          </a:extLst>
        </xdr:cNvPr>
        <xdr:cNvSpPr txBox="1">
          <a:spLocks noChangeArrowheads="1"/>
        </xdr:cNvSpPr>
      </xdr:nvSpPr>
      <xdr:spPr bwMode="auto">
        <a:xfrm>
          <a:off x="6410325" y="10963275"/>
          <a:ext cx="1009650" cy="40957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800" b="0" i="0" u="none" strike="noStrike" baseline="0">
              <a:solidFill>
                <a:srgbClr val="000000"/>
              </a:solidFill>
              <a:latin typeface="Arial"/>
              <a:cs typeface="Arial"/>
            </a:rPr>
            <a:t>Review </a:t>
          </a:r>
          <a:r>
            <a:rPr lang="en-US" sz="800" b="0" i="1" u="none" strike="noStrike" baseline="0">
              <a:solidFill>
                <a:srgbClr val="333399"/>
              </a:solidFill>
              <a:latin typeface="Arial"/>
              <a:cs typeface="Arial"/>
            </a:rPr>
            <a:t>Premium Credit for top-up</a:t>
          </a:r>
          <a:endParaRPr lang="en-US" sz="800" b="0" i="0" u="none" strike="noStrike" baseline="0">
            <a:solidFill>
              <a:srgbClr val="000000"/>
            </a:solidFill>
            <a:latin typeface="Arial"/>
            <a:cs typeface="Arial"/>
          </a:endParaRPr>
        </a:p>
        <a:p>
          <a:pPr algn="l" rtl="0">
            <a:lnSpc>
              <a:spcPts val="800"/>
            </a:lnSpc>
            <a:defRPr sz="1000"/>
          </a:pPr>
          <a:endParaRPr lang="en-US" sz="800" b="0" i="0" u="none" strike="noStrike" baseline="0">
            <a:solidFill>
              <a:srgbClr val="000000"/>
            </a:solidFill>
            <a:latin typeface="Arial"/>
            <a:cs typeface="Arial"/>
          </a:endParaRPr>
        </a:p>
      </xdr:txBody>
    </xdr:sp>
    <xdr:clientData/>
  </xdr:twoCellAnchor>
  <xdr:twoCellAnchor editAs="oneCell">
    <xdr:from>
      <xdr:col>10</xdr:col>
      <xdr:colOff>28575</xdr:colOff>
      <xdr:row>72</xdr:row>
      <xdr:rowOff>28575</xdr:rowOff>
    </xdr:from>
    <xdr:to>
      <xdr:col>10</xdr:col>
      <xdr:colOff>361950</xdr:colOff>
      <xdr:row>73</xdr:row>
      <xdr:rowOff>114300</xdr:rowOff>
    </xdr:to>
    <xdr:sp macro="" textlink="">
      <xdr:nvSpPr>
        <xdr:cNvPr id="11631" name="Text Box 367">
          <a:extLst>
            <a:ext uri="{FF2B5EF4-FFF2-40B4-BE49-F238E27FC236}">
              <a16:creationId xmlns:a16="http://schemas.microsoft.com/office/drawing/2014/main" id="{00000000-0008-0000-0000-00006F2D0000}"/>
            </a:ext>
          </a:extLst>
        </xdr:cNvPr>
        <xdr:cNvSpPr txBox="1">
          <a:spLocks noChangeArrowheads="1"/>
        </xdr:cNvSpPr>
      </xdr:nvSpPr>
      <xdr:spPr bwMode="auto">
        <a:xfrm>
          <a:off x="6181725" y="12525375"/>
          <a:ext cx="333375" cy="247650"/>
        </a:xfrm>
        <a:prstGeom prst="rect">
          <a:avLst/>
        </a:prstGeom>
        <a:noFill/>
        <a:ln w="9525">
          <a:noFill/>
          <a:miter lim="800000"/>
          <a:headEnd/>
          <a:tailEnd/>
        </a:ln>
      </xdr:spPr>
      <xdr:txBody>
        <a:bodyPr vertOverflow="clip" wrap="square" lIns="91440" tIns="45720" rIns="91440" bIns="45720" anchor="t" upright="1"/>
        <a:lstStyle/>
        <a:p>
          <a:pPr algn="l" rtl="0">
            <a:lnSpc>
              <a:spcPts val="800"/>
            </a:lnSpc>
            <a:defRPr sz="1000"/>
          </a:pPr>
          <a:r>
            <a:rPr lang="en-US" sz="800" b="0" i="0" u="none" strike="noStrike" baseline="0">
              <a:solidFill>
                <a:srgbClr val="FF0000"/>
              </a:solidFill>
              <a:latin typeface="Arial"/>
              <a:cs typeface="Arial"/>
            </a:rPr>
            <a:t>15.</a:t>
          </a:r>
        </a:p>
        <a:p>
          <a:pPr algn="l" rtl="0">
            <a:lnSpc>
              <a:spcPts val="700"/>
            </a:lnSpc>
            <a:defRPr sz="1000"/>
          </a:pPr>
          <a:endParaRPr lang="en-US" sz="800" b="0" i="0" u="none" strike="noStrike" baseline="0">
            <a:solidFill>
              <a:srgbClr val="FF0000"/>
            </a:solidFill>
            <a:latin typeface="Arial"/>
            <a:cs typeface="Arial"/>
          </a:endParaRPr>
        </a:p>
      </xdr:txBody>
    </xdr:sp>
    <xdr:clientData/>
  </xdr:twoCellAnchor>
  <xdr:twoCellAnchor>
    <xdr:from>
      <xdr:col>5</xdr:col>
      <xdr:colOff>226952</xdr:colOff>
      <xdr:row>63</xdr:row>
      <xdr:rowOff>41180</xdr:rowOff>
    </xdr:from>
    <xdr:to>
      <xdr:col>10</xdr:col>
      <xdr:colOff>106421</xdr:colOff>
      <xdr:row>67</xdr:row>
      <xdr:rowOff>101695</xdr:rowOff>
    </xdr:to>
    <xdr:sp macro="" textlink="">
      <xdr:nvSpPr>
        <xdr:cNvPr id="6285" name="Line 368">
          <a:extLst>
            <a:ext uri="{FF2B5EF4-FFF2-40B4-BE49-F238E27FC236}">
              <a16:creationId xmlns:a16="http://schemas.microsoft.com/office/drawing/2014/main" id="{00000000-0008-0000-0000-00008D180000}"/>
            </a:ext>
          </a:extLst>
        </xdr:cNvPr>
        <xdr:cNvSpPr>
          <a:spLocks noChangeShapeType="1"/>
        </xdr:cNvSpPr>
      </xdr:nvSpPr>
      <xdr:spPr bwMode="auto">
        <a:xfrm rot="10880458" flipH="1">
          <a:off x="3274952" y="11080655"/>
          <a:ext cx="2984619" cy="708215"/>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504825</xdr:colOff>
      <xdr:row>5</xdr:row>
      <xdr:rowOff>57150</xdr:rowOff>
    </xdr:from>
    <xdr:to>
      <xdr:col>4</xdr:col>
      <xdr:colOff>590550</xdr:colOff>
      <xdr:row>8</xdr:row>
      <xdr:rowOff>114300</xdr:rowOff>
    </xdr:to>
    <xdr:grpSp>
      <xdr:nvGrpSpPr>
        <xdr:cNvPr id="6286" name="Group 377">
          <a:extLst>
            <a:ext uri="{FF2B5EF4-FFF2-40B4-BE49-F238E27FC236}">
              <a16:creationId xmlns:a16="http://schemas.microsoft.com/office/drawing/2014/main" id="{00000000-0008-0000-0000-00008E180000}"/>
            </a:ext>
          </a:extLst>
        </xdr:cNvPr>
        <xdr:cNvGrpSpPr>
          <a:grpSpLocks/>
        </xdr:cNvGrpSpPr>
      </xdr:nvGrpSpPr>
      <xdr:grpSpPr bwMode="auto">
        <a:xfrm>
          <a:off x="3021330" y="910590"/>
          <a:ext cx="80010" cy="565785"/>
          <a:chOff x="306" y="111"/>
          <a:chExt cx="9" cy="58"/>
        </a:xfrm>
      </xdr:grpSpPr>
      <xdr:sp macro="" textlink="">
        <xdr:nvSpPr>
          <xdr:cNvPr id="6289" name="Flowchart: Connector 77">
            <a:extLst>
              <a:ext uri="{FF2B5EF4-FFF2-40B4-BE49-F238E27FC236}">
                <a16:creationId xmlns:a16="http://schemas.microsoft.com/office/drawing/2014/main" id="{00000000-0008-0000-0000-000091180000}"/>
              </a:ext>
            </a:extLst>
          </xdr:cNvPr>
          <xdr:cNvSpPr>
            <a:spLocks noChangeArrowheads="1"/>
          </xdr:cNvSpPr>
        </xdr:nvSpPr>
        <xdr:spPr bwMode="auto">
          <a:xfrm>
            <a:off x="306" y="111"/>
            <a:ext cx="8" cy="8"/>
          </a:xfrm>
          <a:prstGeom prst="flowChartConnector">
            <a:avLst/>
          </a:prstGeom>
          <a:solidFill>
            <a:srgbClr val="4F81BD"/>
          </a:solidFill>
          <a:ln>
            <a:noFill/>
          </a:ln>
          <a:extLst>
            <a:ext uri="{91240B29-F687-4F45-9708-019B960494DF}">
              <a14:hiddenLine xmlns:a14="http://schemas.microsoft.com/office/drawing/2010/main" w="9525" algn="ctr">
                <a:solidFill>
                  <a:srgbClr val="000000"/>
                </a:solidFill>
                <a:round/>
                <a:headEnd/>
                <a:tailEnd/>
              </a14:hiddenLine>
            </a:ext>
          </a:extLst>
        </xdr:spPr>
      </xdr:sp>
      <xdr:sp macro="" textlink="">
        <xdr:nvSpPr>
          <xdr:cNvPr id="6290" name="Flowchart: Connector 80">
            <a:extLst>
              <a:ext uri="{FF2B5EF4-FFF2-40B4-BE49-F238E27FC236}">
                <a16:creationId xmlns:a16="http://schemas.microsoft.com/office/drawing/2014/main" id="{00000000-0008-0000-0000-000092180000}"/>
              </a:ext>
            </a:extLst>
          </xdr:cNvPr>
          <xdr:cNvSpPr>
            <a:spLocks noChangeArrowheads="1"/>
          </xdr:cNvSpPr>
        </xdr:nvSpPr>
        <xdr:spPr bwMode="auto">
          <a:xfrm>
            <a:off x="307" y="145"/>
            <a:ext cx="8" cy="8"/>
          </a:xfrm>
          <a:prstGeom prst="flowChartConnector">
            <a:avLst/>
          </a:prstGeom>
          <a:solidFill>
            <a:srgbClr val="4F81BD"/>
          </a:solidFill>
          <a:ln>
            <a:noFill/>
          </a:ln>
          <a:extLst>
            <a:ext uri="{91240B29-F687-4F45-9708-019B960494DF}">
              <a14:hiddenLine xmlns:a14="http://schemas.microsoft.com/office/drawing/2010/main" w="9525" algn="ctr">
                <a:solidFill>
                  <a:srgbClr val="000000"/>
                </a:solidFill>
                <a:round/>
                <a:headEnd/>
                <a:tailEnd/>
              </a14:hiddenLine>
            </a:ext>
          </a:extLst>
        </xdr:spPr>
      </xdr:sp>
      <xdr:sp macro="" textlink="">
        <xdr:nvSpPr>
          <xdr:cNvPr id="6291" name="Flowchart: Connector 81">
            <a:extLst>
              <a:ext uri="{FF2B5EF4-FFF2-40B4-BE49-F238E27FC236}">
                <a16:creationId xmlns:a16="http://schemas.microsoft.com/office/drawing/2014/main" id="{00000000-0008-0000-0000-000093180000}"/>
              </a:ext>
            </a:extLst>
          </xdr:cNvPr>
          <xdr:cNvSpPr>
            <a:spLocks noChangeArrowheads="1"/>
          </xdr:cNvSpPr>
        </xdr:nvSpPr>
        <xdr:spPr bwMode="auto">
          <a:xfrm>
            <a:off x="307" y="161"/>
            <a:ext cx="8" cy="8"/>
          </a:xfrm>
          <a:prstGeom prst="flowChartConnector">
            <a:avLst/>
          </a:prstGeom>
          <a:solidFill>
            <a:srgbClr val="4F81BD"/>
          </a:solidFill>
          <a:ln>
            <a:noFill/>
          </a:ln>
          <a:extLst>
            <a:ext uri="{91240B29-F687-4F45-9708-019B960494DF}">
              <a14:hiddenLine xmlns:a14="http://schemas.microsoft.com/office/drawing/2010/main" w="9525" algn="ctr">
                <a:solidFill>
                  <a:srgbClr val="000000"/>
                </a:solidFill>
                <a:round/>
                <a:headEnd/>
                <a:tailEnd/>
              </a14:hiddenLine>
            </a:ext>
          </a:extLst>
        </xdr:spPr>
      </xdr:sp>
    </xdr:grpSp>
    <xdr:clientData/>
  </xdr:twoCellAnchor>
  <xdr:twoCellAnchor editAs="oneCell">
    <xdr:from>
      <xdr:col>6</xdr:col>
      <xdr:colOff>133350</xdr:colOff>
      <xdr:row>0</xdr:row>
      <xdr:rowOff>66675</xdr:rowOff>
    </xdr:from>
    <xdr:to>
      <xdr:col>9</xdr:col>
      <xdr:colOff>323850</xdr:colOff>
      <xdr:row>3</xdr:row>
      <xdr:rowOff>38100</xdr:rowOff>
    </xdr:to>
    <xdr:pic>
      <xdr:nvPicPr>
        <xdr:cNvPr id="6287" name="Picture 76" descr="genworth_color_R_300dpi[small].jpg">
          <a:extLst>
            <a:ext uri="{FF2B5EF4-FFF2-40B4-BE49-F238E27FC236}">
              <a16:creationId xmlns:a16="http://schemas.microsoft.com/office/drawing/2014/main" id="{00000000-0008-0000-0000-00008F18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t="18143" b="18143"/>
        <a:stretch>
          <a:fillRect/>
        </a:stretch>
      </xdr:blipFill>
      <xdr:spPr bwMode="auto">
        <a:xfrm>
          <a:off x="3829050" y="66675"/>
          <a:ext cx="20002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266700</xdr:colOff>
      <xdr:row>66</xdr:row>
      <xdr:rowOff>133350</xdr:rowOff>
    </xdr:from>
    <xdr:to>
      <xdr:col>2</xdr:col>
      <xdr:colOff>438150</xdr:colOff>
      <xdr:row>70</xdr:row>
      <xdr:rowOff>123825</xdr:rowOff>
    </xdr:to>
    <xdr:sp macro="" textlink="">
      <xdr:nvSpPr>
        <xdr:cNvPr id="140" name="Text Box 354">
          <a:extLst>
            <a:ext uri="{FF2B5EF4-FFF2-40B4-BE49-F238E27FC236}">
              <a16:creationId xmlns:a16="http://schemas.microsoft.com/office/drawing/2014/main" id="{00000000-0008-0000-0000-00008C000000}"/>
            </a:ext>
          </a:extLst>
        </xdr:cNvPr>
        <xdr:cNvSpPr txBox="1">
          <a:spLocks noChangeArrowheads="1"/>
        </xdr:cNvSpPr>
      </xdr:nvSpPr>
      <xdr:spPr bwMode="auto">
        <a:xfrm>
          <a:off x="266700" y="11658600"/>
          <a:ext cx="1390650" cy="638175"/>
        </a:xfrm>
        <a:prstGeom prst="rect">
          <a:avLst/>
        </a:prstGeom>
        <a:noFill/>
        <a:ln w="9525">
          <a:noFill/>
          <a:miter lim="800000"/>
          <a:headEnd/>
          <a:tailEnd/>
        </a:ln>
      </xdr:spPr>
      <xdr:txBody>
        <a:bodyPr vertOverflow="clip" wrap="square" lIns="91440" tIns="45720" rIns="91440" bIns="45720" anchor="t" upright="1"/>
        <a:lstStyle/>
        <a:p>
          <a:pPr marL="0" marR="0" indent="0" algn="l" defTabSz="914400" rtl="0" eaLnBrk="1" fontAlgn="auto" latinLnBrk="0" hangingPunct="1">
            <a:lnSpc>
              <a:spcPts val="700"/>
            </a:lnSpc>
            <a:spcBef>
              <a:spcPts val="0"/>
            </a:spcBef>
            <a:spcAft>
              <a:spcPts val="0"/>
            </a:spcAft>
            <a:buClrTx/>
            <a:buSzTx/>
            <a:buFontTx/>
            <a:buNone/>
            <a:tabLst/>
            <a:defRPr sz="1000"/>
          </a:pPr>
          <a:r>
            <a:rPr lang="en-US" sz="800" b="0" i="0" u="none" strike="noStrike" baseline="0">
              <a:solidFill>
                <a:srgbClr val="000000"/>
              </a:solidFill>
              <a:latin typeface="Arial"/>
              <a:cs typeface="Arial"/>
            </a:rPr>
            <a:t>Select 'Yes' f</a:t>
          </a:r>
          <a:r>
            <a:rPr lang="en-US" sz="1000" b="0" i="0" baseline="0">
              <a:effectLst/>
              <a:latin typeface="+mn-lt"/>
              <a:ea typeface="+mn-ea"/>
              <a:cs typeface="+mn-cs"/>
            </a:rPr>
            <a:t>rom the drop down menu</a:t>
          </a:r>
          <a:endParaRPr lang="en-AU" sz="800">
            <a:effectLst/>
          </a:endParaRPr>
        </a:p>
        <a:p>
          <a:pPr algn="l" rtl="0">
            <a:lnSpc>
              <a:spcPts val="700"/>
            </a:lnSpc>
            <a:defRPr sz="1000"/>
          </a:pPr>
          <a:r>
            <a:rPr lang="en-US" sz="800" b="0" i="0" u="none" strike="noStrike" baseline="0">
              <a:solidFill>
                <a:srgbClr val="000000"/>
              </a:solidFill>
              <a:latin typeface="Arial"/>
              <a:cs typeface="Arial"/>
            </a:rPr>
            <a:t>if any borrower or guarantor is </a:t>
          </a:r>
          <a:r>
            <a:rPr lang="en-US" sz="800" b="0" i="1" u="none" strike="noStrike" baseline="0">
              <a:solidFill>
                <a:srgbClr val="333399"/>
              </a:solidFill>
              <a:latin typeface="Arial"/>
              <a:cs typeface="Arial"/>
            </a:rPr>
            <a:t>Self Employed</a:t>
          </a:r>
          <a:endParaRPr lang="en-US" sz="800" b="0" i="0" u="none" strike="noStrike" baseline="0">
            <a:solidFill>
              <a:srgbClr val="000000"/>
            </a:solidFill>
            <a:latin typeface="Arial"/>
            <a:cs typeface="Arial"/>
          </a:endParaRPr>
        </a:p>
      </xdr:txBody>
    </xdr:sp>
    <xdr:clientData/>
  </xdr:twoCellAnchor>
  <xdr:twoCellAnchor>
    <xdr:from>
      <xdr:col>8</xdr:col>
      <xdr:colOff>145317</xdr:colOff>
      <xdr:row>55</xdr:row>
      <xdr:rowOff>42257</xdr:rowOff>
    </xdr:from>
    <xdr:to>
      <xdr:col>10</xdr:col>
      <xdr:colOff>178534</xdr:colOff>
      <xdr:row>59</xdr:row>
      <xdr:rowOff>5367</xdr:rowOff>
    </xdr:to>
    <xdr:sp macro="" textlink="">
      <xdr:nvSpPr>
        <xdr:cNvPr id="142" name="Line 353">
          <a:extLst>
            <a:ext uri="{FF2B5EF4-FFF2-40B4-BE49-F238E27FC236}">
              <a16:creationId xmlns:a16="http://schemas.microsoft.com/office/drawing/2014/main" id="{00000000-0008-0000-0000-00008E000000}"/>
            </a:ext>
          </a:extLst>
        </xdr:cNvPr>
        <xdr:cNvSpPr>
          <a:spLocks noChangeShapeType="1"/>
        </xdr:cNvSpPr>
      </xdr:nvSpPr>
      <xdr:spPr bwMode="auto">
        <a:xfrm rot="10827726" flipH="1">
          <a:off x="5003067" y="9786332"/>
          <a:ext cx="1328617" cy="610810"/>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135820</xdr:colOff>
      <xdr:row>55</xdr:row>
      <xdr:rowOff>35344</xdr:rowOff>
    </xdr:from>
    <xdr:to>
      <xdr:col>10</xdr:col>
      <xdr:colOff>168971</xdr:colOff>
      <xdr:row>59</xdr:row>
      <xdr:rowOff>5177</xdr:rowOff>
    </xdr:to>
    <xdr:sp macro="" textlink="">
      <xdr:nvSpPr>
        <xdr:cNvPr id="143" name="Line 353">
          <a:extLst>
            <a:ext uri="{FF2B5EF4-FFF2-40B4-BE49-F238E27FC236}">
              <a16:creationId xmlns:a16="http://schemas.microsoft.com/office/drawing/2014/main" id="{00000000-0008-0000-0000-00008F000000}"/>
            </a:ext>
          </a:extLst>
        </xdr:cNvPr>
        <xdr:cNvSpPr>
          <a:spLocks noChangeShapeType="1"/>
        </xdr:cNvSpPr>
      </xdr:nvSpPr>
      <xdr:spPr bwMode="auto">
        <a:xfrm rot="10827726" flipH="1">
          <a:off x="5641270" y="9779419"/>
          <a:ext cx="680851" cy="617533"/>
        </a:xfrm>
        <a:prstGeom prst="line">
          <a:avLst/>
        </a:prstGeom>
        <a:noFill/>
        <a:ln w="9525">
          <a:solidFill>
            <a:srgbClr val="FF33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0</xdr:col>
      <xdr:colOff>0</xdr:colOff>
      <xdr:row>0</xdr:row>
      <xdr:rowOff>1</xdr:rowOff>
    </xdr:from>
    <xdr:to>
      <xdr:col>4</xdr:col>
      <xdr:colOff>439161</xdr:colOff>
      <xdr:row>32</xdr:row>
      <xdr:rowOff>76201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0" y="1"/>
          <a:ext cx="2877561" cy="5429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13</xdr:row>
      <xdr:rowOff>114300</xdr:rowOff>
    </xdr:from>
    <xdr:to>
      <xdr:col>1</xdr:col>
      <xdr:colOff>1724025</xdr:colOff>
      <xdr:row>14</xdr:row>
      <xdr:rowOff>57150</xdr:rowOff>
    </xdr:to>
    <xdr:sp macro="" textlink="">
      <xdr:nvSpPr>
        <xdr:cNvPr id="1110" name="Text Box 86">
          <a:extLst>
            <a:ext uri="{FF2B5EF4-FFF2-40B4-BE49-F238E27FC236}">
              <a16:creationId xmlns:a16="http://schemas.microsoft.com/office/drawing/2014/main" id="{00000000-0008-0000-0100-000056040000}"/>
            </a:ext>
          </a:extLst>
        </xdr:cNvPr>
        <xdr:cNvSpPr txBox="1">
          <a:spLocks noChangeArrowheads="1"/>
        </xdr:cNvSpPr>
      </xdr:nvSpPr>
      <xdr:spPr bwMode="auto">
        <a:xfrm>
          <a:off x="552450" y="2943225"/>
          <a:ext cx="1685925"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sz="700" b="0" i="0" u="none" strike="noStrike" baseline="0">
              <a:solidFill>
                <a:srgbClr val="000000"/>
              </a:solidFill>
              <a:latin typeface="Arial"/>
              <a:cs typeface="Arial"/>
            </a:rPr>
            <a:t>(According to Genworth criteria)</a:t>
          </a:r>
        </a:p>
      </xdr:txBody>
    </xdr:sp>
    <xdr:clientData/>
  </xdr:twoCellAnchor>
  <xdr:twoCellAnchor>
    <xdr:from>
      <xdr:col>5</xdr:col>
      <xdr:colOff>209550</xdr:colOff>
      <xdr:row>2</xdr:row>
      <xdr:rowOff>85726</xdr:rowOff>
    </xdr:from>
    <xdr:to>
      <xdr:col>6</xdr:col>
      <xdr:colOff>628650</xdr:colOff>
      <xdr:row>2</xdr:row>
      <xdr:rowOff>276226</xdr:rowOff>
    </xdr:to>
    <xdr:sp macro="" textlink="">
      <xdr:nvSpPr>
        <xdr:cNvPr id="1117" name="Text Box 93">
          <a:hlinkClick xmlns:r="http://schemas.openxmlformats.org/officeDocument/2006/relationships" r:id="rId1"/>
          <a:extLst>
            <a:ext uri="{FF2B5EF4-FFF2-40B4-BE49-F238E27FC236}">
              <a16:creationId xmlns:a16="http://schemas.microsoft.com/office/drawing/2014/main" id="{00000000-0008-0000-0100-00005D040000}"/>
            </a:ext>
          </a:extLst>
        </xdr:cNvPr>
        <xdr:cNvSpPr txBox="1">
          <a:spLocks noChangeArrowheads="1"/>
        </xdr:cNvSpPr>
      </xdr:nvSpPr>
      <xdr:spPr bwMode="auto">
        <a:xfrm>
          <a:off x="5133975" y="628651"/>
          <a:ext cx="962025"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1" i="0" u="sng" strike="noStrike" baseline="0">
              <a:solidFill>
                <a:srgbClr val="0070C0"/>
              </a:solidFill>
              <a:latin typeface="Arial"/>
              <a:cs typeface="Arial"/>
            </a:rPr>
            <a:t>Back to Menu</a:t>
          </a:r>
        </a:p>
      </xdr:txBody>
    </xdr:sp>
    <xdr:clientData/>
  </xdr:twoCellAnchor>
  <xdr:twoCellAnchor>
    <xdr:from>
      <xdr:col>1</xdr:col>
      <xdr:colOff>38100</xdr:colOff>
      <xdr:row>10</xdr:row>
      <xdr:rowOff>123825</xdr:rowOff>
    </xdr:from>
    <xdr:to>
      <xdr:col>1</xdr:col>
      <xdr:colOff>1724025</xdr:colOff>
      <xdr:row>11</xdr:row>
      <xdr:rowOff>47625</xdr:rowOff>
    </xdr:to>
    <xdr:sp macro="" textlink="">
      <xdr:nvSpPr>
        <xdr:cNvPr id="1136" name="Text Box 112">
          <a:extLst>
            <a:ext uri="{FF2B5EF4-FFF2-40B4-BE49-F238E27FC236}">
              <a16:creationId xmlns:a16="http://schemas.microsoft.com/office/drawing/2014/main" id="{00000000-0008-0000-0100-000070040000}"/>
            </a:ext>
          </a:extLst>
        </xdr:cNvPr>
        <xdr:cNvSpPr txBox="1">
          <a:spLocks noChangeArrowheads="1"/>
        </xdr:cNvSpPr>
      </xdr:nvSpPr>
      <xdr:spPr bwMode="auto">
        <a:xfrm>
          <a:off x="552450" y="2552700"/>
          <a:ext cx="1685925"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en-US" sz="600" b="0" i="0" u="none" strike="noStrike" baseline="0">
              <a:solidFill>
                <a:srgbClr val="000000"/>
              </a:solidFill>
              <a:latin typeface="Arial"/>
              <a:cs typeface="Arial"/>
            </a:rPr>
            <a:t>(</a:t>
          </a:r>
          <a:r>
            <a:rPr lang="en-US" sz="700" b="0" i="0" u="none" strike="noStrike" baseline="0">
              <a:solidFill>
                <a:srgbClr val="000000"/>
              </a:solidFill>
              <a:latin typeface="Arial"/>
              <a:cs typeface="Arial"/>
            </a:rPr>
            <a:t>existing uninsured loan)</a:t>
          </a:r>
        </a:p>
      </xdr:txBody>
    </xdr:sp>
    <xdr:clientData/>
  </xdr:twoCellAnchor>
  <xdr:twoCellAnchor editAs="oneCell">
    <xdr:from>
      <xdr:col>0</xdr:col>
      <xdr:colOff>409575</xdr:colOff>
      <xdr:row>0</xdr:row>
      <xdr:rowOff>28575</xdr:rowOff>
    </xdr:from>
    <xdr:to>
      <xdr:col>2</xdr:col>
      <xdr:colOff>133350</xdr:colOff>
      <xdr:row>1</xdr:row>
      <xdr:rowOff>295275</xdr:rowOff>
    </xdr:to>
    <xdr:pic>
      <xdr:nvPicPr>
        <xdr:cNvPr id="1310" name="Picture 5" descr="genworth_color_R_300dpi[small].jpg">
          <a:extLst>
            <a:ext uri="{FF2B5EF4-FFF2-40B4-BE49-F238E27FC236}">
              <a16:creationId xmlns:a16="http://schemas.microsoft.com/office/drawing/2014/main" id="{00000000-0008-0000-0100-00001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18143" b="18143"/>
        <a:stretch>
          <a:fillRect/>
        </a:stretch>
      </xdr:blipFill>
      <xdr:spPr bwMode="auto">
        <a:xfrm>
          <a:off x="409575" y="28575"/>
          <a:ext cx="1985963"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4</xdr:col>
          <xdr:colOff>0</xdr:colOff>
          <xdr:row>8</xdr:row>
          <xdr:rowOff>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7</xdr:col>
          <xdr:colOff>0</xdr:colOff>
          <xdr:row>7</xdr:row>
          <xdr:rowOff>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7</xdr:col>
          <xdr:colOff>0</xdr:colOff>
          <xdr:row>8</xdr:row>
          <xdr:rowOff>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7</xdr:col>
          <xdr:colOff>0</xdr:colOff>
          <xdr:row>6</xdr:row>
          <xdr:rowOff>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5</xdr:row>
          <xdr:rowOff>106680</xdr:rowOff>
        </xdr:from>
        <xdr:to>
          <xdr:col>5</xdr:col>
          <xdr:colOff>236220</xdr:colOff>
          <xdr:row>7</xdr:row>
          <xdr:rowOff>144780</xdr:rowOff>
        </xdr:to>
        <xdr:sp macro="" textlink="">
          <xdr:nvSpPr>
            <xdr:cNvPr id="1084" name="Button 60" descr="Reset"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2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0</xdr:colOff>
          <xdr:row>14</xdr:row>
          <xdr:rowOff>0</xdr:rowOff>
        </xdr:to>
        <xdr:sp macro="" textlink="">
          <xdr:nvSpPr>
            <xdr:cNvPr id="1106" name="Drop Dow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4</xdr:col>
          <xdr:colOff>0</xdr:colOff>
          <xdr:row>15</xdr:row>
          <xdr:rowOff>0</xdr:rowOff>
        </xdr:to>
        <xdr:sp macro="" textlink="">
          <xdr:nvSpPr>
            <xdr:cNvPr id="1121" name="Drop Dow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0</xdr:colOff>
          <xdr:row>9</xdr:row>
          <xdr:rowOff>0</xdr:rowOff>
        </xdr:to>
        <xdr:sp macro="" textlink="">
          <xdr:nvSpPr>
            <xdr:cNvPr id="1132" name="Drop Dow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0</xdr:colOff>
          <xdr:row>7</xdr:row>
          <xdr:rowOff>0</xdr:rowOff>
        </xdr:to>
        <xdr:sp macro="" textlink="">
          <xdr:nvSpPr>
            <xdr:cNvPr id="1134" name="Drop Dow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38100</xdr:colOff>
      <xdr:row>12</xdr:row>
      <xdr:rowOff>114300</xdr:rowOff>
    </xdr:from>
    <xdr:to>
      <xdr:col>1</xdr:col>
      <xdr:colOff>1724025</xdr:colOff>
      <xdr:row>13</xdr:row>
      <xdr:rowOff>57150</xdr:rowOff>
    </xdr:to>
    <xdr:sp macro="" textlink="">
      <xdr:nvSpPr>
        <xdr:cNvPr id="17" name="Text Box 86">
          <a:extLst>
            <a:ext uri="{FF2B5EF4-FFF2-40B4-BE49-F238E27FC236}">
              <a16:creationId xmlns:a16="http://schemas.microsoft.com/office/drawing/2014/main" id="{00000000-0008-0000-0100-000011000000}"/>
            </a:ext>
          </a:extLst>
        </xdr:cNvPr>
        <xdr:cNvSpPr txBox="1">
          <a:spLocks noChangeArrowheads="1"/>
        </xdr:cNvSpPr>
      </xdr:nvSpPr>
      <xdr:spPr bwMode="auto">
        <a:xfrm>
          <a:off x="1333500" y="2743200"/>
          <a:ext cx="1685925"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sz="700" b="0" i="0" u="none" strike="noStrike" baseline="0">
              <a:solidFill>
                <a:srgbClr val="000000"/>
              </a:solidFill>
              <a:latin typeface="Arial"/>
              <a:cs typeface="Arial"/>
            </a:rPr>
            <a:t>(Borrower or Guarantor)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0</xdr:colOff>
          <xdr:row>13</xdr:row>
          <xdr:rowOff>0</xdr:rowOff>
        </xdr:to>
        <xdr:sp macro="" textlink="">
          <xdr:nvSpPr>
            <xdr:cNvPr id="1201" name="Drop Dow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7</xdr:col>
          <xdr:colOff>0</xdr:colOff>
          <xdr:row>9</xdr:row>
          <xdr:rowOff>0</xdr:rowOff>
        </xdr:to>
        <xdr:sp macro="" textlink="">
          <xdr:nvSpPr>
            <xdr:cNvPr id="1204" name="Drop Dow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7</xdr:col>
          <xdr:colOff>0</xdr:colOff>
          <xdr:row>10</xdr:row>
          <xdr:rowOff>0</xdr:rowOff>
        </xdr:to>
        <xdr:sp macro="" textlink="">
          <xdr:nvSpPr>
            <xdr:cNvPr id="1205" name="Drop Dow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7</xdr:col>
          <xdr:colOff>1150620</xdr:colOff>
          <xdr:row>6</xdr:row>
          <xdr:rowOff>0</xdr:rowOff>
        </xdr:to>
        <xdr:sp macro="" textlink="">
          <xdr:nvSpPr>
            <xdr:cNvPr id="1206" name="Drop Dow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7</xdr:col>
          <xdr:colOff>1150620</xdr:colOff>
          <xdr:row>7</xdr:row>
          <xdr:rowOff>0</xdr:rowOff>
        </xdr:to>
        <xdr:sp macro="" textlink="">
          <xdr:nvSpPr>
            <xdr:cNvPr id="1207" name="Drop Dow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7</xdr:col>
          <xdr:colOff>1150620</xdr:colOff>
          <xdr:row>8</xdr:row>
          <xdr:rowOff>0</xdr:rowOff>
        </xdr:to>
        <xdr:sp macro="" textlink="">
          <xdr:nvSpPr>
            <xdr:cNvPr id="1208" name="Drop Dow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7</xdr:col>
          <xdr:colOff>1150620</xdr:colOff>
          <xdr:row>9</xdr:row>
          <xdr:rowOff>0</xdr:rowOff>
        </xdr:to>
        <xdr:sp macro="" textlink="">
          <xdr:nvSpPr>
            <xdr:cNvPr id="1209" name="Drop Dow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7</xdr:col>
          <xdr:colOff>1150620</xdr:colOff>
          <xdr:row>10</xdr:row>
          <xdr:rowOff>0</xdr:rowOff>
        </xdr:to>
        <xdr:sp macro="" textlink="">
          <xdr:nvSpPr>
            <xdr:cNvPr id="1210" name="Drop Dow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rinterSettings" Target="../printerSettings/printerSettings5.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rinterSettings" Target="../printerSettings/printerSettings4.bin"/><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6:AH139"/>
  <sheetViews>
    <sheetView showGridLines="0" showRowColHeaders="0" showZeros="0" showOutlineSymbols="0" zoomScaleNormal="100" zoomScaleSheetLayoutView="100" workbookViewId="0">
      <selection activeCell="N20" sqref="N20"/>
    </sheetView>
  </sheetViews>
  <sheetFormatPr defaultColWidth="9.109375" defaultRowHeight="13.2"/>
  <cols>
    <col min="1" max="5" width="9.109375" style="93"/>
    <col min="6" max="6" width="9.5546875" style="93" customWidth="1"/>
    <col min="7" max="8" width="8.5546875" style="93" customWidth="1"/>
    <col min="9" max="11" width="9.5546875" style="93" customWidth="1"/>
    <col min="12" max="16384" width="9.109375" style="93"/>
  </cols>
  <sheetData>
    <row r="6" spans="5:15" ht="12.75" customHeight="1">
      <c r="E6" s="91"/>
      <c r="F6" s="116" t="s">
        <v>84</v>
      </c>
      <c r="G6" s="92"/>
      <c r="H6" s="92"/>
      <c r="I6" s="92"/>
      <c r="J6" s="92"/>
      <c r="K6" s="92"/>
    </row>
    <row r="7" spans="5:15" ht="13.8">
      <c r="F7" s="115" t="s">
        <v>85</v>
      </c>
      <c r="K7" s="94"/>
    </row>
    <row r="8" spans="5:15">
      <c r="F8" s="115" t="s">
        <v>81</v>
      </c>
    </row>
    <row r="9" spans="5:15">
      <c r="F9" s="115" t="s">
        <v>83</v>
      </c>
    </row>
    <row r="10" spans="5:15" ht="13.8">
      <c r="F10" s="115" t="s">
        <v>82</v>
      </c>
      <c r="M10" s="326"/>
      <c r="N10" s="326"/>
      <c r="O10" s="326"/>
    </row>
    <row r="11" spans="5:15">
      <c r="F11" s="93" t="s">
        <v>76</v>
      </c>
      <c r="L11" s="95"/>
    </row>
    <row r="18" spans="6:15" ht="13.8">
      <c r="F18" s="115" t="s">
        <v>80</v>
      </c>
      <c r="N18" s="96"/>
    </row>
    <row r="19" spans="6:15">
      <c r="F19" s="115" t="s">
        <v>79</v>
      </c>
    </row>
    <row r="20" spans="6:15">
      <c r="F20" s="117" t="s">
        <v>107</v>
      </c>
    </row>
    <row r="22" spans="6:15" ht="13.8">
      <c r="N22" s="96"/>
    </row>
    <row r="24" spans="6:15">
      <c r="F24" s="97" t="s">
        <v>26</v>
      </c>
    </row>
    <row r="25" spans="6:15" ht="13.8">
      <c r="F25" s="98"/>
      <c r="G25" s="336" t="s">
        <v>195</v>
      </c>
      <c r="H25" s="336"/>
      <c r="I25" s="336"/>
      <c r="J25" s="336"/>
      <c r="K25" s="98"/>
    </row>
    <row r="26" spans="6:15" ht="15" customHeight="1">
      <c r="F26" s="98"/>
      <c r="G26" s="337" t="s">
        <v>176</v>
      </c>
      <c r="H26" s="338"/>
      <c r="I26" s="339">
        <v>43770</v>
      </c>
      <c r="J26" s="340"/>
      <c r="K26" s="98"/>
    </row>
    <row r="27" spans="6:15" ht="13.8">
      <c r="F27" s="190"/>
      <c r="G27" s="337" t="s">
        <v>173</v>
      </c>
      <c r="H27" s="338"/>
      <c r="I27" s="339">
        <v>44012</v>
      </c>
      <c r="J27" s="340"/>
      <c r="K27" s="190"/>
      <c r="L27" s="190"/>
      <c r="M27" s="104"/>
      <c r="N27" s="104"/>
      <c r="O27" s="104"/>
    </row>
    <row r="28" spans="6:15" ht="14.4" thickBot="1">
      <c r="F28" s="190"/>
      <c r="G28" s="194"/>
      <c r="H28" s="195"/>
      <c r="I28" s="196"/>
      <c r="J28" s="197"/>
      <c r="K28" s="190"/>
      <c r="L28" s="190"/>
      <c r="M28" s="190"/>
      <c r="N28" s="190"/>
      <c r="O28" s="190"/>
    </row>
    <row r="29" spans="6:15">
      <c r="F29" s="327" t="s">
        <v>25</v>
      </c>
      <c r="G29" s="328"/>
      <c r="H29" s="328"/>
      <c r="I29" s="328"/>
      <c r="J29" s="328"/>
      <c r="K29" s="328"/>
      <c r="L29" s="329"/>
    </row>
    <row r="30" spans="6:15" ht="12.75" customHeight="1">
      <c r="F30" s="330" t="s">
        <v>196</v>
      </c>
      <c r="G30" s="331"/>
      <c r="H30" s="331"/>
      <c r="I30" s="331"/>
      <c r="J30" s="331"/>
      <c r="K30" s="331"/>
      <c r="L30" s="332"/>
    </row>
    <row r="31" spans="6:15" ht="12.75" customHeight="1">
      <c r="F31" s="330"/>
      <c r="G31" s="331"/>
      <c r="H31" s="331"/>
      <c r="I31" s="331"/>
      <c r="J31" s="331"/>
      <c r="K31" s="331"/>
      <c r="L31" s="332"/>
    </row>
    <row r="32" spans="6:15" ht="13.5" customHeight="1" thickBot="1">
      <c r="F32" s="333"/>
      <c r="G32" s="334"/>
      <c r="H32" s="334"/>
      <c r="I32" s="334"/>
      <c r="J32" s="334"/>
      <c r="K32" s="334"/>
      <c r="L32" s="335"/>
    </row>
    <row r="33" spans="1:34" ht="30" customHeight="1">
      <c r="N33" s="98"/>
    </row>
    <row r="34" spans="1:34" ht="12.75" customHeight="1">
      <c r="A34" s="312" t="s">
        <v>189</v>
      </c>
      <c r="M34" s="99"/>
    </row>
    <row r="35" spans="1:34" ht="12.75" customHeight="1">
      <c r="A35" s="93" t="s">
        <v>185</v>
      </c>
      <c r="F35" s="90"/>
      <c r="G35" s="90"/>
      <c r="H35" s="90"/>
      <c r="I35" s="90"/>
      <c r="J35" s="90"/>
      <c r="K35" s="90"/>
      <c r="L35" s="99"/>
      <c r="M35" s="90"/>
    </row>
    <row r="36" spans="1:34" ht="13.5" customHeight="1">
      <c r="A36" s="312" t="s">
        <v>194</v>
      </c>
      <c r="H36" s="90"/>
      <c r="I36" s="90"/>
      <c r="J36" s="90"/>
      <c r="L36" s="90"/>
      <c r="M36" s="90"/>
    </row>
    <row r="37" spans="1:34" ht="30">
      <c r="L37" s="90"/>
      <c r="M37" s="90"/>
    </row>
    <row r="38" spans="1:34" ht="30">
      <c r="L38" s="90"/>
    </row>
    <row r="45" spans="1:34">
      <c r="F45" s="100"/>
      <c r="G45" s="100"/>
      <c r="K45" s="100"/>
    </row>
    <row r="46" spans="1:34">
      <c r="E46" s="100"/>
      <c r="H46" s="100"/>
      <c r="I46" s="100"/>
      <c r="J46" s="100"/>
    </row>
    <row r="47" spans="1:34">
      <c r="A47" s="100"/>
      <c r="B47" s="100"/>
      <c r="C47" s="100"/>
      <c r="D47" s="100"/>
      <c r="M47" s="100"/>
      <c r="AH47" s="100"/>
    </row>
    <row r="48" spans="1:34">
      <c r="L48" s="100"/>
    </row>
    <row r="50" spans="14:14">
      <c r="N50" s="100"/>
    </row>
    <row r="118" spans="1:3">
      <c r="C118" s="101"/>
    </row>
    <row r="120" spans="1:3" ht="3" customHeight="1"/>
    <row r="122" spans="1:3">
      <c r="A122" s="102"/>
    </row>
    <row r="123" spans="1:3" ht="12.75" customHeight="1">
      <c r="A123" s="102"/>
    </row>
    <row r="124" spans="1:3" ht="12.75" customHeight="1">
      <c r="A124" s="102"/>
    </row>
    <row r="131" spans="2:14">
      <c r="F131" s="89"/>
      <c r="G131" s="89"/>
      <c r="K131" s="89"/>
    </row>
    <row r="132" spans="2:14">
      <c r="E132" s="89"/>
      <c r="F132" s="89"/>
      <c r="G132" s="89"/>
      <c r="H132" s="89"/>
      <c r="I132" s="89"/>
      <c r="J132" s="89"/>
      <c r="K132" s="89"/>
    </row>
    <row r="133" spans="2:14" ht="12.75" customHeight="1">
      <c r="B133" s="325" t="s">
        <v>193</v>
      </c>
      <c r="C133" s="325"/>
      <c r="D133" s="325"/>
      <c r="E133" s="325"/>
      <c r="F133" s="325"/>
      <c r="G133" s="325"/>
      <c r="H133" s="325"/>
      <c r="I133" s="325"/>
      <c r="J133" s="325"/>
      <c r="K133" s="325"/>
      <c r="L133" s="325"/>
      <c r="M133" s="103"/>
    </row>
    <row r="134" spans="2:14">
      <c r="B134" s="325"/>
      <c r="C134" s="325"/>
      <c r="D134" s="325"/>
      <c r="E134" s="325"/>
      <c r="F134" s="325"/>
      <c r="G134" s="325"/>
      <c r="H134" s="325"/>
      <c r="I134" s="325"/>
      <c r="J134" s="325"/>
      <c r="K134" s="325"/>
      <c r="L134" s="325"/>
      <c r="M134" s="103"/>
    </row>
    <row r="135" spans="2:14">
      <c r="B135" s="325"/>
      <c r="C135" s="325"/>
      <c r="D135" s="325"/>
      <c r="E135" s="325"/>
      <c r="F135" s="325"/>
      <c r="G135" s="325"/>
      <c r="H135" s="325"/>
      <c r="I135" s="325"/>
      <c r="J135" s="325"/>
      <c r="K135" s="325"/>
      <c r="L135" s="325"/>
      <c r="M135" s="103"/>
    </row>
    <row r="136" spans="2:14" ht="69" customHeight="1">
      <c r="B136" s="325"/>
      <c r="C136" s="325"/>
      <c r="D136" s="325"/>
      <c r="E136" s="325"/>
      <c r="F136" s="325"/>
      <c r="G136" s="325"/>
      <c r="H136" s="325"/>
      <c r="I136" s="325"/>
      <c r="J136" s="325"/>
      <c r="K136" s="325"/>
      <c r="L136" s="325"/>
      <c r="M136" s="103"/>
      <c r="N136" s="103"/>
    </row>
    <row r="137" spans="2:14">
      <c r="L137" s="103"/>
      <c r="N137" s="103"/>
    </row>
    <row r="138" spans="2:14">
      <c r="N138" s="103"/>
    </row>
    <row r="139" spans="2:14">
      <c r="N139" s="103"/>
    </row>
  </sheetData>
  <sheetProtection password="BD40" sheet="1" objects="1" scenarios="1"/>
  <customSheetViews>
    <customSheetView guid="{398FF2B9-9C35-4944-9645-5E87FA7C56A5}" showGridLines="0" showRowCol="0" outlineSymbols="0" zeroValues="0" showRuler="0">
      <rowBreaks count="2" manualBreakCount="2">
        <brk id="43" max="13" man="1"/>
        <brk id="82" max="13" man="1"/>
      </rowBreaks>
      <colBreaks count="1" manualBreakCount="1">
        <brk id="17" max="107" man="1"/>
      </colBreaks>
      <pageMargins left="0.74803149606299213" right="0.74803149606299213" top="0.98425196850393704" bottom="0.98425196850393704" header="0.51181102362204722" footer="0.51181102362204722"/>
      <printOptions horizontalCentered="1" verticalCentered="1"/>
      <pageSetup paperSize="9" scale="84" orientation="landscape" r:id="rId1"/>
      <headerFooter alignWithMargins="0"/>
    </customSheetView>
  </customSheetViews>
  <mergeCells count="9">
    <mergeCell ref="B133:L136"/>
    <mergeCell ref="M10:O10"/>
    <mergeCell ref="F29:L29"/>
    <mergeCell ref="F30:L32"/>
    <mergeCell ref="G25:J25"/>
    <mergeCell ref="G27:H27"/>
    <mergeCell ref="I27:J27"/>
    <mergeCell ref="G26:H26"/>
    <mergeCell ref="I26:J26"/>
  </mergeCells>
  <phoneticPr fontId="0" type="noConversion"/>
  <hyperlinks>
    <hyperlink ref="F24" location="MENU!B157" display="Disclaimer" xr:uid="{00000000-0004-0000-0000-000000000000}"/>
  </hyperlinks>
  <printOptions horizontalCentered="1" verticalCentered="1"/>
  <pageMargins left="0.74803149606299213" right="0.74803149606299213" top="0.98425196850393704" bottom="0.98425196850393704" header="0.51181102362204722" footer="0.51181102362204722"/>
  <pageSetup paperSize="9" scale="84" orientation="landscape" r:id="rId2"/>
  <headerFooter alignWithMargins="0"/>
  <rowBreaks count="1" manualBreakCount="1">
    <brk id="86" max="13" man="1"/>
  </rowBreaks>
  <colBreaks count="1" manualBreakCount="1">
    <brk id="17" max="107" man="1"/>
  </colBreak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Q510"/>
  <sheetViews>
    <sheetView showGridLines="0" showRowColHeaders="0" showZeros="0" tabSelected="1" showOutlineSymbols="0" showWhiteSpace="0" zoomScaleNormal="100" zoomScaleSheetLayoutView="75" workbookViewId="0">
      <selection activeCell="K3" sqref="K3:K4"/>
    </sheetView>
  </sheetViews>
  <sheetFormatPr defaultColWidth="9.109375" defaultRowHeight="15"/>
  <cols>
    <col min="1" max="1" width="6.44140625" style="9" customWidth="1"/>
    <col min="2" max="2" width="27.5546875" style="9" customWidth="1"/>
    <col min="3" max="3" width="12.5546875" style="9" customWidth="1"/>
    <col min="4" max="4" width="14.88671875" style="9" customWidth="1"/>
    <col min="5" max="5" width="12.5546875" style="9" customWidth="1"/>
    <col min="6" max="6" width="8.109375" style="9" customWidth="1"/>
    <col min="7" max="7" width="21.44140625" style="9" customWidth="1"/>
    <col min="8" max="8" width="16.5546875" style="9" customWidth="1"/>
    <col min="9" max="9" width="26.88671875" style="11" customWidth="1"/>
    <col min="10" max="11" width="13.5546875" style="9" customWidth="1"/>
    <col min="12" max="12" width="15.44140625" style="9" bestFit="1" customWidth="1"/>
    <col min="13" max="13" width="9.5546875" style="9" customWidth="1"/>
    <col min="14" max="14" width="10.44140625" style="10" customWidth="1"/>
    <col min="15" max="15" width="9.5546875" style="9" bestFit="1" customWidth="1"/>
    <col min="16" max="16" width="9.109375" style="9"/>
    <col min="17" max="17" width="9.44140625" style="9" bestFit="1" customWidth="1"/>
    <col min="18" max="20" width="9.109375" style="9"/>
    <col min="21" max="21" width="9.44140625" style="9" bestFit="1" customWidth="1"/>
    <col min="22" max="22" width="10.88671875" style="9" bestFit="1" customWidth="1"/>
    <col min="23" max="23" width="9.44140625" style="9" bestFit="1" customWidth="1"/>
    <col min="24" max="24" width="10.88671875" style="9" bestFit="1" customWidth="1"/>
    <col min="25" max="16384" width="9.109375" style="9"/>
  </cols>
  <sheetData>
    <row r="1" spans="1:14" s="2" customFormat="1" ht="15" customHeight="1">
      <c r="A1" s="4"/>
      <c r="B1" s="4"/>
      <c r="C1" s="5"/>
      <c r="D1" s="5"/>
      <c r="E1" s="5"/>
      <c r="F1" s="46"/>
      <c r="G1" s="46"/>
      <c r="H1" s="46"/>
      <c r="I1" s="6"/>
      <c r="J1" s="7"/>
      <c r="N1" s="3"/>
    </row>
    <row r="2" spans="1:14" s="2" customFormat="1" ht="27.9" customHeight="1">
      <c r="A2" s="4"/>
      <c r="B2" s="4"/>
      <c r="C2" s="5"/>
      <c r="D2" s="5"/>
      <c r="E2" s="360" t="s">
        <v>34</v>
      </c>
      <c r="F2" s="361"/>
      <c r="G2" s="351" t="str">
        <f>MENU!F30</f>
        <v>Resimac Group</v>
      </c>
      <c r="H2" s="351"/>
      <c r="I2" s="352"/>
      <c r="J2" s="86"/>
      <c r="K2" s="86"/>
      <c r="N2" s="3"/>
    </row>
    <row r="3" spans="1:14" s="2" customFormat="1" ht="22.8">
      <c r="A3" s="4"/>
      <c r="B3" s="373" t="s">
        <v>65</v>
      </c>
      <c r="C3" s="373"/>
      <c r="D3" s="373"/>
      <c r="E3" s="227"/>
      <c r="F3" s="226"/>
      <c r="G3" s="228"/>
      <c r="H3" s="228" t="s">
        <v>24</v>
      </c>
      <c r="I3" s="118">
        <f ca="1">NOW()</f>
        <v>43972.404100231484</v>
      </c>
      <c r="K3" s="59"/>
      <c r="L3" s="59"/>
      <c r="N3" s="3"/>
    </row>
    <row r="4" spans="1:14" s="2" customFormat="1" ht="15" customHeight="1">
      <c r="A4" s="4"/>
      <c r="B4" s="374" t="str">
        <f>IF(C7&gt;1,"Call PREMIUM CREDITS HelpDesk: 1300 661118 if assistance required","")</f>
        <v/>
      </c>
      <c r="C4" s="374"/>
      <c r="D4" s="374"/>
      <c r="E4" s="374"/>
      <c r="F4" s="226"/>
      <c r="G4" s="229" t="s">
        <v>174</v>
      </c>
      <c r="H4" s="230"/>
      <c r="I4" s="193" t="str">
        <f>IF(AND(I6&gt;0,OR(H6=1,G6=1)),"Enter State &amp; Occupancy Type",IF(AND(I7&gt;0,OR(H7=1,G7=1)),"Enter State &amp; Occupancy Type",IF(AND(I8&gt;0,OR(H8=1,G8=1)),"Enter State &amp; Occupancy Type",IF(AND(I9&gt;0,OR(H9=1,G9=1)),"Enter State &amp; Occupancy Type",IF(AND(I10&gt;0,OR(H10=1,G10=1)),"Enter State &amp; Occupancy Type","")))))</f>
        <v/>
      </c>
      <c r="J4" s="7"/>
      <c r="K4" s="59"/>
      <c r="L4" s="59"/>
      <c r="N4" s="3"/>
    </row>
    <row r="5" spans="1:14" s="2" customFormat="1" ht="15.9" customHeight="1">
      <c r="A5" s="12"/>
      <c r="B5" s="231" t="s">
        <v>99</v>
      </c>
      <c r="C5" s="362"/>
      <c r="D5" s="363"/>
      <c r="E5" s="364"/>
      <c r="F5" s="226"/>
      <c r="G5" s="230" t="s">
        <v>175</v>
      </c>
      <c r="H5" s="230" t="s">
        <v>177</v>
      </c>
      <c r="I5" s="152" t="s">
        <v>110</v>
      </c>
      <c r="J5" s="87" t="str">
        <f>IF(OR(G6=3,G6=4,G7=3,G7=4,G8=3,G8=4,G9=3,G9=4,G10=3,G10=4),1,"")</f>
        <v/>
      </c>
      <c r="K5" s="59"/>
      <c r="L5" s="59"/>
      <c r="M5" s="59"/>
      <c r="N5" s="3"/>
    </row>
    <row r="6" spans="1:14" s="2" customFormat="1" ht="15.9" customHeight="1">
      <c r="A6" s="12"/>
      <c r="B6" s="110" t="s">
        <v>100</v>
      </c>
      <c r="C6" s="371"/>
      <c r="D6" s="372"/>
      <c r="E6" s="242"/>
      <c r="F6" s="192"/>
      <c r="G6" s="221">
        <v>1</v>
      </c>
      <c r="H6" s="240">
        <v>2</v>
      </c>
      <c r="I6" s="241"/>
      <c r="J6" s="353"/>
      <c r="K6" s="353"/>
      <c r="L6" s="59"/>
      <c r="M6" s="59"/>
      <c r="N6" s="3"/>
    </row>
    <row r="7" spans="1:14" s="2" customFormat="1" ht="15.9" customHeight="1">
      <c r="A7" s="12"/>
      <c r="B7" s="111" t="s">
        <v>101</v>
      </c>
      <c r="C7" s="369">
        <v>1</v>
      </c>
      <c r="D7" s="370"/>
      <c r="E7" s="163"/>
      <c r="F7" s="192"/>
      <c r="G7" s="221">
        <v>1</v>
      </c>
      <c r="H7" s="240">
        <v>1</v>
      </c>
      <c r="I7" s="241"/>
      <c r="J7" s="353"/>
      <c r="K7" s="353"/>
      <c r="L7" s="59"/>
      <c r="M7" s="59"/>
      <c r="N7" s="3"/>
    </row>
    <row r="8" spans="1:14" s="2" customFormat="1" ht="15.9" customHeight="1">
      <c r="A8" s="12"/>
      <c r="B8" s="110" t="s">
        <v>102</v>
      </c>
      <c r="C8" s="365">
        <v>1</v>
      </c>
      <c r="D8" s="366"/>
      <c r="E8" s="163"/>
      <c r="F8" s="192"/>
      <c r="G8" s="221">
        <v>1</v>
      </c>
      <c r="H8" s="240">
        <v>1</v>
      </c>
      <c r="I8" s="241"/>
      <c r="J8" s="353"/>
      <c r="K8" s="353"/>
      <c r="L8" s="59"/>
      <c r="M8" s="59"/>
      <c r="N8" s="3"/>
    </row>
    <row r="9" spans="1:14" s="2" customFormat="1" ht="15.9" customHeight="1">
      <c r="A9" s="12"/>
      <c r="B9" s="111" t="s">
        <v>103</v>
      </c>
      <c r="C9" s="358">
        <v>1</v>
      </c>
      <c r="D9" s="359"/>
      <c r="E9" s="232" t="str">
        <f>IF(AND(C14=1,C9&gt;1),"&lt;&lt;Check Loan Purpose","")</f>
        <v/>
      </c>
      <c r="F9" s="233"/>
      <c r="G9" s="221">
        <v>1</v>
      </c>
      <c r="H9" s="240">
        <v>1</v>
      </c>
      <c r="I9" s="241"/>
      <c r="J9" s="353"/>
      <c r="K9" s="353"/>
      <c r="M9" s="59"/>
      <c r="N9" s="114"/>
    </row>
    <row r="10" spans="1:14" s="2" customFormat="1" ht="15.9" customHeight="1">
      <c r="A10" s="12"/>
      <c r="B10" s="110" t="str">
        <f>IF(C8=2,"New total loan limit", "New loan amount")</f>
        <v>New loan amount</v>
      </c>
      <c r="C10" s="356"/>
      <c r="D10" s="357"/>
      <c r="E10" s="234"/>
      <c r="F10" s="233"/>
      <c r="G10" s="221">
        <v>1</v>
      </c>
      <c r="H10" s="240">
        <v>1</v>
      </c>
      <c r="I10" s="241"/>
      <c r="J10" s="353"/>
      <c r="K10" s="353"/>
      <c r="M10" s="59"/>
      <c r="N10" s="114"/>
    </row>
    <row r="11" spans="1:14" s="2" customFormat="1" ht="15.9" customHeight="1">
      <c r="A11" s="12"/>
      <c r="B11" s="112" t="s">
        <v>104</v>
      </c>
      <c r="C11" s="356"/>
      <c r="D11" s="357"/>
      <c r="E11" s="243" t="str">
        <f>IF(C7=1,IF(C12&lt;&gt;"Not Used",IF(C12&gt;0," ERROR - RESET",""),""),"")</f>
        <v/>
      </c>
      <c r="F11" s="235"/>
      <c r="G11" s="108"/>
      <c r="H11" s="108"/>
      <c r="I11" s="85"/>
      <c r="J11" s="353"/>
      <c r="K11" s="353"/>
      <c r="M11" s="59"/>
      <c r="N11" s="114"/>
    </row>
    <row r="12" spans="1:14" s="2" customFormat="1" ht="15.9" customHeight="1">
      <c r="A12" s="12"/>
      <c r="B12" s="109" t="str">
        <f>IF(C10&gt;0,IF(C7=2,"LMI Premium already paid &gt;&gt;","Please leave blank  &gt;&gt;&gt;"),"Please leave blank  &gt;&gt;&gt;")</f>
        <v>Please leave blank  &gt;&gt;&gt;</v>
      </c>
      <c r="C12" s="367" t="str">
        <f>IF($C$10&gt;0,IF($C$7=2,"0.00","Not used"),"Not Used")</f>
        <v>Not Used</v>
      </c>
      <c r="D12" s="368"/>
      <c r="E12" s="244" t="str">
        <f>IF(C7=2,IF(C14=1," FHB mismatch",""),"")</f>
        <v/>
      </c>
      <c r="F12" s="235"/>
      <c r="G12" s="375" t="str">
        <f>IF(D68="Top-Up (on existing insured loan)",L12,IF(D69="Purchase or Construction",L16,IF(D69="Home Improvement/Renovation",L12,IF(D69="Internal Refinance",L15,IF(D69="External Refinance/Debt Consolidation",L13,IF(D69="Equity Release (or Cash-out)",L14,""))))))</f>
        <v>A Standard New Loan for purchase or construction requires a minimum of 5% of the total cost to be verified as genuine savings if the LVR exceeds 90%. Regardless of the LVR or loan purpose, income and employment must be fully verified.</v>
      </c>
      <c r="H12" s="376"/>
      <c r="I12" s="377"/>
      <c r="J12" s="353"/>
      <c r="K12" s="353"/>
      <c r="L12" s="105" t="s">
        <v>31</v>
      </c>
      <c r="M12" s="59"/>
      <c r="N12" s="114"/>
    </row>
    <row r="13" spans="1:14" s="2" customFormat="1" ht="15.9" customHeight="1">
      <c r="A13" s="12"/>
      <c r="B13" s="113" t="s">
        <v>144</v>
      </c>
      <c r="C13" s="384">
        <v>2</v>
      </c>
      <c r="D13" s="384"/>
      <c r="E13" s="234"/>
      <c r="F13" s="235"/>
      <c r="G13" s="378"/>
      <c r="H13" s="379"/>
      <c r="I13" s="380"/>
      <c r="J13" s="353"/>
      <c r="K13" s="353"/>
      <c r="L13" s="105" t="s">
        <v>78</v>
      </c>
      <c r="M13" s="59"/>
      <c r="N13" s="114"/>
    </row>
    <row r="14" spans="1:14" s="2" customFormat="1" ht="15.9" customHeight="1">
      <c r="A14" s="12"/>
      <c r="B14" s="237" t="s">
        <v>105</v>
      </c>
      <c r="C14" s="345">
        <v>2</v>
      </c>
      <c r="D14" s="346"/>
      <c r="E14" s="232" t="str">
        <f>IF(C8=2,IF(C14=1," &lt;&lt; Check LMI Product",""),"")</f>
        <v/>
      </c>
      <c r="F14" s="235"/>
      <c r="G14" s="378"/>
      <c r="H14" s="379"/>
      <c r="I14" s="380"/>
      <c r="J14" s="47"/>
      <c r="L14" s="105" t="s">
        <v>77</v>
      </c>
      <c r="M14" s="59"/>
      <c r="N14" s="114"/>
    </row>
    <row r="15" spans="1:14" s="2" customFormat="1" ht="15.9" customHeight="1">
      <c r="A15" s="12"/>
      <c r="B15" s="238" t="s">
        <v>106</v>
      </c>
      <c r="C15" s="345">
        <v>1</v>
      </c>
      <c r="D15" s="346"/>
      <c r="E15" s="236" t="str">
        <f>IF(C8=2,IF(C15&gt;1,"&lt; Check Product Type",""),"")</f>
        <v/>
      </c>
      <c r="F15" s="235"/>
      <c r="G15" s="381"/>
      <c r="H15" s="382"/>
      <c r="I15" s="383"/>
      <c r="J15" s="47"/>
      <c r="L15" s="105" t="s">
        <v>75</v>
      </c>
      <c r="M15" s="59"/>
      <c r="N15" s="114"/>
    </row>
    <row r="16" spans="1:14" s="2" customFormat="1" ht="11.1" customHeight="1">
      <c r="A16" s="1"/>
      <c r="B16" s="239"/>
      <c r="C16" s="342"/>
      <c r="D16" s="342"/>
      <c r="E16" s="245"/>
      <c r="F16" s="1"/>
      <c r="G16" s="1"/>
      <c r="H16" s="1"/>
      <c r="I16" s="61"/>
      <c r="J16" s="47"/>
      <c r="L16" s="105" t="s">
        <v>190</v>
      </c>
      <c r="M16" s="114"/>
      <c r="N16" s="59"/>
    </row>
    <row r="17" spans="1:14" s="2" customFormat="1" ht="15.6">
      <c r="A17" s="5"/>
      <c r="B17" s="292" t="s">
        <v>88</v>
      </c>
      <c r="C17" s="293"/>
      <c r="D17" s="293"/>
      <c r="E17" s="293"/>
      <c r="F17" s="293" t="s">
        <v>87</v>
      </c>
      <c r="G17" s="293"/>
      <c r="H17" s="293"/>
      <c r="I17" s="294"/>
      <c r="J17" s="48"/>
      <c r="M17" s="114"/>
      <c r="N17" s="59"/>
    </row>
    <row r="18" spans="1:14" s="2" customFormat="1" ht="15.75" customHeight="1">
      <c r="A18" s="5"/>
      <c r="B18" s="259" t="s">
        <v>12</v>
      </c>
      <c r="C18" s="260"/>
      <c r="D18" s="261" t="str">
        <f>IF(D56=0,"",D67)</f>
        <v/>
      </c>
      <c r="E18" s="222"/>
      <c r="F18" s="267" t="s">
        <v>63</v>
      </c>
      <c r="G18" s="267"/>
      <c r="H18" s="246"/>
      <c r="I18" s="268"/>
      <c r="J18" s="48"/>
      <c r="M18" s="114"/>
      <c r="N18" s="59"/>
    </row>
    <row r="19" spans="1:14" s="2" customFormat="1" ht="15.75" customHeight="1">
      <c r="A19" s="5"/>
      <c r="B19" s="262" t="str">
        <f>IF(C7=2,"  Premium on Total Loan","  Premium")</f>
        <v xml:space="preserve">  Premium</v>
      </c>
      <c r="C19" s="263"/>
      <c r="D19" s="247" t="str">
        <f ca="1">IF(NOW()-C38&gt;0,"Calculator expired",H101)</f>
        <v>Refer</v>
      </c>
      <c r="E19" s="223"/>
      <c r="F19" s="269" t="s">
        <v>64</v>
      </c>
      <c r="G19" s="269"/>
      <c r="H19" s="270"/>
      <c r="I19" s="271"/>
      <c r="J19" s="42"/>
      <c r="M19" s="114"/>
      <c r="N19" s="59"/>
    </row>
    <row r="20" spans="1:14" s="2" customFormat="1">
      <c r="A20" s="5"/>
      <c r="B20" s="343" t="str">
        <f>IF(C7=2,"  LESS LMI premium already paid","")</f>
        <v/>
      </c>
      <c r="C20" s="344"/>
      <c r="D20" s="251">
        <f>H102</f>
        <v>0</v>
      </c>
      <c r="E20" s="225"/>
      <c r="F20" s="269"/>
      <c r="G20" s="269"/>
      <c r="H20" s="269"/>
      <c r="I20" s="272"/>
      <c r="J20" s="49"/>
      <c r="M20" s="114"/>
      <c r="N20" s="59"/>
    </row>
    <row r="21" spans="1:14" s="2" customFormat="1">
      <c r="A21" s="5"/>
      <c r="B21" s="259" t="s">
        <v>89</v>
      </c>
      <c r="C21" s="264"/>
      <c r="D21" s="248" t="str">
        <f ca="1">H105</f>
        <v>Refer</v>
      </c>
      <c r="E21" s="224"/>
      <c r="F21" s="264" t="s">
        <v>0</v>
      </c>
      <c r="G21" s="264"/>
      <c r="H21" s="264"/>
      <c r="I21" s="273" t="str">
        <f ca="1">IF(C39=1,I28,"N/A")</f>
        <v>Refer</v>
      </c>
      <c r="J21" s="50"/>
      <c r="M21" s="114"/>
      <c r="N21" s="59"/>
    </row>
    <row r="22" spans="1:14" s="2" customFormat="1" ht="13.8">
      <c r="A22" s="5"/>
      <c r="B22" s="265" t="s">
        <v>92</v>
      </c>
      <c r="C22" s="264"/>
      <c r="D22" s="250">
        <f ca="1">IF(ISERROR(H56),"Refer",H56)</f>
        <v>0</v>
      </c>
      <c r="E22" s="224"/>
      <c r="F22" s="274" t="s">
        <v>90</v>
      </c>
      <c r="G22" s="274"/>
      <c r="H22" s="274"/>
      <c r="I22" s="310">
        <f ca="1">IF(C39=1,D22,"N/A")</f>
        <v>0</v>
      </c>
      <c r="J22" s="51"/>
      <c r="K22" s="107"/>
      <c r="M22" s="59"/>
      <c r="N22" s="59"/>
    </row>
    <row r="23" spans="1:14" s="2" customFormat="1">
      <c r="A23" s="5"/>
      <c r="B23" s="266" t="s">
        <v>93</v>
      </c>
      <c r="C23" s="264"/>
      <c r="D23" s="249" t="str">
        <f ca="1">IF(ISERROR(D21+D22),"Refer",(D21+D22))</f>
        <v>Refer</v>
      </c>
      <c r="E23" s="224"/>
      <c r="F23" s="275" t="s">
        <v>1</v>
      </c>
      <c r="G23" s="275"/>
      <c r="H23" s="275"/>
      <c r="I23" s="276">
        <f ca="1">SUM(I21:I22)</f>
        <v>0</v>
      </c>
      <c r="J23" s="52"/>
      <c r="K23" s="88"/>
      <c r="M23" s="114"/>
      <c r="N23" s="59"/>
    </row>
    <row r="24" spans="1:14" s="2" customFormat="1">
      <c r="A24" s="5"/>
      <c r="B24" s="354" t="str">
        <f>IF(AND(D30&gt;H43,OR(H6=3,H7=3,H8=3,H9=3,H10=3)),"     Note: LVR after capitalisation exceeds 95%","")</f>
        <v/>
      </c>
      <c r="C24" s="355"/>
      <c r="D24" s="355"/>
      <c r="E24" s="355"/>
      <c r="F24" s="252"/>
      <c r="G24" s="253" t="str">
        <f>IF(C39=1,IF(D30&gt;1,"Maximum allowed for capitalisation:",""),"")</f>
        <v/>
      </c>
      <c r="H24" s="253"/>
      <c r="I24" s="254" t="str">
        <f>IF(C39=1,IF(D30&gt;1,(I6+I7+I8)-D29+I23,""),"")</f>
        <v/>
      </c>
      <c r="J24" s="42"/>
      <c r="M24" s="114"/>
      <c r="N24" s="59"/>
    </row>
    <row r="25" spans="1:14" s="2" customFormat="1">
      <c r="A25" s="5"/>
      <c r="B25" s="277" t="s">
        <v>91</v>
      </c>
      <c r="C25" s="278"/>
      <c r="D25" s="278"/>
      <c r="E25" s="278"/>
      <c r="F25" s="279" t="s">
        <v>86</v>
      </c>
      <c r="G25" s="279"/>
      <c r="H25" s="279"/>
      <c r="I25" s="280"/>
      <c r="J25" s="42"/>
      <c r="M25" s="114"/>
      <c r="N25" s="59"/>
    </row>
    <row r="26" spans="1:14" s="2" customFormat="1">
      <c r="A26" s="5"/>
      <c r="B26" s="281" t="s">
        <v>13</v>
      </c>
      <c r="C26" s="278"/>
      <c r="D26" s="282" t="str">
        <f ca="1">IF(ISERROR(D21-D27),"Refer",(D21-D27))</f>
        <v>Refer</v>
      </c>
      <c r="E26" s="278"/>
      <c r="F26" s="278" t="s">
        <v>0</v>
      </c>
      <c r="G26" s="278"/>
      <c r="H26" s="278"/>
      <c r="I26" s="283" t="str">
        <f ca="1">IF(C39=1,D26,"N/A")</f>
        <v>Refer</v>
      </c>
      <c r="J26" s="48"/>
      <c r="L26" s="7"/>
      <c r="M26" s="114"/>
      <c r="N26" s="59"/>
    </row>
    <row r="27" spans="1:14" s="2" customFormat="1">
      <c r="A27" s="5"/>
      <c r="B27" s="284" t="s">
        <v>97</v>
      </c>
      <c r="C27" s="278"/>
      <c r="D27" s="285" t="str">
        <f ca="1">IF(ISERROR(D21/11),"Refer",ROUND(D21/11,2))</f>
        <v>Refer</v>
      </c>
      <c r="E27" s="278"/>
      <c r="F27" s="286" t="s">
        <v>96</v>
      </c>
      <c r="G27" s="286"/>
      <c r="H27" s="286"/>
      <c r="I27" s="283" t="str">
        <f ca="1">IF(C39=1,IF(ISERROR(D27*0.25),"Refer",ROUND(D27*0.25,2)),"N/A")</f>
        <v>Refer</v>
      </c>
      <c r="J27" s="48"/>
      <c r="M27" s="114"/>
      <c r="N27" s="59"/>
    </row>
    <row r="28" spans="1:14" s="2" customFormat="1">
      <c r="A28" s="5"/>
      <c r="B28" s="287" t="s">
        <v>94</v>
      </c>
      <c r="C28" s="288"/>
      <c r="D28" s="289" t="str">
        <f ca="1">IF(ISERROR(D26+D27),"Refer",(D26+D27))</f>
        <v>Refer</v>
      </c>
      <c r="E28" s="288"/>
      <c r="F28" s="290" t="s">
        <v>95</v>
      </c>
      <c r="G28" s="290"/>
      <c r="H28" s="290"/>
      <c r="I28" s="291" t="str">
        <f ca="1">IF(C39=1,IF(ISERROR(I26+I27),"Refer",(I26+I27)),"N/A")</f>
        <v>Refer</v>
      </c>
      <c r="J28" s="48"/>
      <c r="M28" s="114"/>
      <c r="N28" s="59"/>
    </row>
    <row r="29" spans="1:14" s="2" customFormat="1" ht="15.6">
      <c r="A29" s="5"/>
      <c r="B29" s="295"/>
      <c r="C29" s="296" t="s">
        <v>98</v>
      </c>
      <c r="D29" s="297">
        <f>IF(SUM(I6:I10)&gt;0,IF($C$10&gt;0,SUM($C$10,$C$11,$C$40),0),0)</f>
        <v>0</v>
      </c>
      <c r="E29" s="298" t="str">
        <f>IF($I$6+$I$7+$I$8&gt;0,IF($D$29&gt;($I$6+$I$7+$I$8),"EXCEEDS LIMIT",""),"")</f>
        <v/>
      </c>
      <c r="F29" s="347" t="s">
        <v>17</v>
      </c>
      <c r="G29" s="348"/>
      <c r="H29" s="296"/>
      <c r="I29" s="299">
        <f ca="1">IF(D27&lt;&gt;"Refer",D27,0)</f>
        <v>0</v>
      </c>
      <c r="J29" s="48"/>
      <c r="M29" s="114"/>
      <c r="N29" s="59"/>
    </row>
    <row r="30" spans="1:14" s="2" customFormat="1" ht="15.6">
      <c r="A30" s="5"/>
      <c r="B30" s="300"/>
      <c r="C30" s="301" t="s">
        <v>16</v>
      </c>
      <c r="D30" s="302">
        <f>IF(SUM(I6:I10)&gt;0,IF(D70&lt;&gt;"Family Pledge",D29/(SUM(I6:I10)),D29/(SUM(I6:I11))),0)</f>
        <v>0</v>
      </c>
      <c r="E30" s="303" t="str">
        <f>IF(D30&gt;1,"EXCEEDS 100% LVR","")</f>
        <v/>
      </c>
      <c r="F30" s="349" t="s">
        <v>18</v>
      </c>
      <c r="G30" s="350"/>
      <c r="H30" s="301"/>
      <c r="I30" s="304">
        <f ca="1">IF(C39=1,IF(D27&lt;&gt;"Refer",D27-I27,0),0)</f>
        <v>0</v>
      </c>
      <c r="J30" s="48"/>
      <c r="M30" s="114"/>
      <c r="N30" s="59"/>
    </row>
    <row r="31" spans="1:14" s="2" customFormat="1" ht="6" customHeight="1">
      <c r="A31" s="7"/>
      <c r="B31" s="256"/>
      <c r="C31" s="7"/>
      <c r="D31" s="7"/>
      <c r="E31" s="7"/>
      <c r="F31" s="7"/>
      <c r="G31" s="7"/>
      <c r="H31" s="7"/>
      <c r="I31" s="257"/>
      <c r="J31" s="7"/>
      <c r="M31" s="114"/>
      <c r="N31" s="59"/>
    </row>
    <row r="32" spans="1:14" s="2" customFormat="1" ht="6" customHeight="1">
      <c r="A32" s="7"/>
      <c r="B32" s="255"/>
      <c r="C32" s="7"/>
      <c r="D32" s="7"/>
      <c r="E32" s="7"/>
      <c r="F32" s="7"/>
      <c r="G32" s="7"/>
      <c r="H32" s="7"/>
      <c r="I32" s="258"/>
      <c r="J32" s="7"/>
      <c r="M32" s="114"/>
      <c r="N32" s="59"/>
    </row>
    <row r="33" spans="1:14" s="2" customFormat="1" ht="12.9" customHeight="1">
      <c r="A33" s="7"/>
      <c r="B33" s="305" t="str">
        <f>MENU!G25</f>
        <v>VERSION 2019-11</v>
      </c>
      <c r="C33" s="308" t="s">
        <v>176</v>
      </c>
      <c r="D33" s="323">
        <f>MENU!I26</f>
        <v>43770</v>
      </c>
      <c r="E33" s="306"/>
      <c r="F33" s="307"/>
      <c r="G33" s="307"/>
      <c r="H33" s="307" t="s">
        <v>9</v>
      </c>
      <c r="I33" s="324">
        <f>MENU!I27</f>
        <v>44012</v>
      </c>
      <c r="J33" s="43"/>
      <c r="L33" s="55"/>
      <c r="M33" s="114"/>
      <c r="N33" s="59"/>
    </row>
    <row r="34" spans="1:14" s="7" customFormat="1" ht="12.9" hidden="1" customHeight="1">
      <c r="A34" s="56"/>
      <c r="B34" s="341"/>
      <c r="C34" s="341"/>
      <c r="D34" s="341"/>
      <c r="E34" s="341"/>
      <c r="F34" s="341"/>
      <c r="G34" s="341"/>
      <c r="H34" s="341"/>
      <c r="I34" s="341"/>
      <c r="J34" s="56"/>
      <c r="K34" s="56"/>
      <c r="L34" s="56"/>
      <c r="M34" s="56"/>
      <c r="N34" s="13"/>
    </row>
    <row r="35" spans="1:14" s="7" customFormat="1" ht="12.9" hidden="1" customHeight="1">
      <c r="A35" s="56"/>
      <c r="B35" s="191"/>
      <c r="C35" s="191"/>
      <c r="D35" s="191"/>
      <c r="E35" s="191"/>
      <c r="F35" s="191"/>
      <c r="G35" s="191"/>
      <c r="H35" s="191"/>
      <c r="I35" s="191"/>
      <c r="J35" s="56"/>
      <c r="K35" s="56"/>
      <c r="L35" s="56"/>
      <c r="M35" s="56"/>
      <c r="N35" s="13"/>
    </row>
    <row r="36" spans="1:14" s="7" customFormat="1" ht="12.9" hidden="1" customHeight="1">
      <c r="A36" s="56"/>
      <c r="B36" s="191"/>
      <c r="C36" s="191"/>
      <c r="D36" s="191"/>
      <c r="E36" s="191"/>
      <c r="F36" s="191"/>
      <c r="G36" s="191"/>
      <c r="H36" s="191"/>
      <c r="I36" s="191"/>
      <c r="J36" s="56"/>
      <c r="K36" s="56"/>
      <c r="L36" s="56"/>
      <c r="M36" s="56"/>
      <c r="N36" s="13"/>
    </row>
    <row r="37" spans="1:14" s="7" customFormat="1" hidden="1">
      <c r="A37" s="56"/>
      <c r="B37" s="56"/>
      <c r="D37" s="56"/>
      <c r="E37" s="56"/>
      <c r="F37" s="56"/>
      <c r="G37" s="56"/>
      <c r="H37" s="56"/>
      <c r="I37" s="57"/>
      <c r="J37" s="56"/>
      <c r="K37" s="56"/>
      <c r="L37" s="56"/>
      <c r="M37" s="56"/>
      <c r="N37" s="13"/>
    </row>
    <row r="38" spans="1:14" s="7" customFormat="1" hidden="1">
      <c r="A38" s="56"/>
      <c r="B38" s="166" t="s">
        <v>153</v>
      </c>
      <c r="C38" s="164">
        <f>MENU!I27+1</f>
        <v>44013</v>
      </c>
      <c r="D38" s="56"/>
      <c r="E38" s="56"/>
      <c r="F38" s="56"/>
      <c r="G38" s="56"/>
      <c r="H38" s="56"/>
      <c r="I38" s="57"/>
      <c r="J38" s="56"/>
      <c r="K38" s="56"/>
      <c r="L38" s="56"/>
      <c r="M38" s="56"/>
      <c r="N38" s="13"/>
    </row>
    <row r="39" spans="1:14" s="7" customFormat="1" hidden="1">
      <c r="A39" s="56"/>
      <c r="B39" s="166" t="s">
        <v>167</v>
      </c>
      <c r="C39" s="165">
        <v>1</v>
      </c>
      <c r="D39" s="56"/>
      <c r="E39" s="56"/>
      <c r="F39" s="56"/>
      <c r="G39" s="56"/>
      <c r="H39" s="56"/>
      <c r="I39" s="57"/>
      <c r="J39" s="56"/>
      <c r="K39" s="56"/>
      <c r="L39" s="56"/>
      <c r="M39" s="56"/>
      <c r="N39" s="13"/>
    </row>
    <row r="40" spans="1:14" s="7" customFormat="1" hidden="1">
      <c r="A40" s="56"/>
      <c r="B40" s="167" t="s">
        <v>170</v>
      </c>
      <c r="C40" s="165">
        <f ca="1">IF(C39=1,I23,D23)</f>
        <v>0</v>
      </c>
      <c r="D40" s="56"/>
      <c r="E40" s="56"/>
      <c r="F40" s="56"/>
      <c r="H40" s="56"/>
      <c r="I40" s="57"/>
      <c r="J40" s="56"/>
      <c r="K40" s="56"/>
      <c r="L40" s="56"/>
      <c r="M40" s="56"/>
      <c r="N40" s="13"/>
    </row>
    <row r="41" spans="1:14" s="7" customFormat="1" hidden="1">
      <c r="A41" s="56"/>
      <c r="D41" s="56"/>
      <c r="E41" s="56"/>
      <c r="F41" s="56"/>
      <c r="H41" s="56"/>
      <c r="I41" s="57"/>
      <c r="J41" s="56"/>
      <c r="K41" s="56"/>
      <c r="L41" s="56"/>
      <c r="M41" s="56"/>
      <c r="N41" s="13"/>
    </row>
    <row r="42" spans="1:14" s="7" customFormat="1" hidden="1">
      <c r="A42" s="56"/>
      <c r="D42" s="56"/>
      <c r="E42" s="56"/>
      <c r="F42" s="56"/>
      <c r="H42" s="56"/>
      <c r="I42" s="57"/>
      <c r="J42" s="56"/>
      <c r="K42" s="56"/>
      <c r="L42" s="56"/>
      <c r="M42" s="56"/>
      <c r="N42" s="13"/>
    </row>
    <row r="43" spans="1:14" s="7" customFormat="1" ht="12.9" hidden="1" customHeight="1">
      <c r="B43" s="170" t="s">
        <v>171</v>
      </c>
      <c r="C43" s="170"/>
      <c r="E43" s="170" t="s">
        <v>183</v>
      </c>
      <c r="F43" s="170"/>
      <c r="G43" s="170"/>
      <c r="H43" s="309">
        <v>0.95</v>
      </c>
      <c r="I43" s="8"/>
      <c r="N43" s="13"/>
    </row>
    <row r="44" spans="1:14" s="7" customFormat="1" ht="12" hidden="1" customHeight="1">
      <c r="B44" s="7" t="s">
        <v>111</v>
      </c>
      <c r="C44" s="119">
        <f>C10</f>
        <v>0</v>
      </c>
      <c r="I44" s="8"/>
      <c r="N44" s="13"/>
    </row>
    <row r="45" spans="1:14" s="7" customFormat="1" ht="12" hidden="1" customHeight="1">
      <c r="B45" s="7" t="s">
        <v>112</v>
      </c>
      <c r="C45" s="119">
        <f>C11</f>
        <v>0</v>
      </c>
      <c r="I45" s="8"/>
      <c r="N45" s="13"/>
    </row>
    <row r="46" spans="1:14" s="7" customFormat="1" ht="12" hidden="1" customHeight="1">
      <c r="B46" s="168" t="s">
        <v>113</v>
      </c>
      <c r="C46" s="169">
        <f>SUM(C44:C45)</f>
        <v>0</v>
      </c>
      <c r="I46" s="8"/>
      <c r="N46" s="13"/>
    </row>
    <row r="47" spans="1:14" s="7" customFormat="1" ht="12" hidden="1" customHeight="1">
      <c r="I47" s="8"/>
      <c r="N47" s="13"/>
    </row>
    <row r="48" spans="1:14" s="7" customFormat="1" hidden="1">
      <c r="I48" s="8"/>
      <c r="N48" s="13"/>
    </row>
    <row r="49" spans="1:17" s="7" customFormat="1" hidden="1">
      <c r="B49" s="170" t="s">
        <v>114</v>
      </c>
      <c r="C49" s="123"/>
      <c r="J49" s="8"/>
      <c r="O49" s="13"/>
    </row>
    <row r="50" spans="1:17" s="7" customFormat="1" hidden="1">
      <c r="B50" s="168" t="s">
        <v>115</v>
      </c>
      <c r="C50" s="200" t="s">
        <v>148</v>
      </c>
      <c r="D50" s="171" t="s">
        <v>110</v>
      </c>
      <c r="E50" s="168" t="s">
        <v>116</v>
      </c>
      <c r="F50" s="168"/>
      <c r="G50" s="171" t="s">
        <v>172</v>
      </c>
      <c r="H50" s="168" t="s">
        <v>117</v>
      </c>
      <c r="L50" s="8"/>
      <c r="Q50" s="13"/>
    </row>
    <row r="51" spans="1:17" s="7" customFormat="1" hidden="1">
      <c r="A51" s="7">
        <v>1</v>
      </c>
      <c r="B51" s="7" t="str">
        <f>INDEX(Data!$D$3:$D$11,G6)</f>
        <v>Select State of Security</v>
      </c>
      <c r="C51" s="199" t="str">
        <f>INDEX(Data!$B$48:$B$50,H6)</f>
        <v>Owner Occupied</v>
      </c>
      <c r="D51" s="120">
        <f>I6</f>
        <v>0</v>
      </c>
      <c r="E51" s="121">
        <f>INDEX(Data!$B$3:$E$11,MATCH(B51,Data!$D$3:$D$11,0),2)</f>
        <v>0</v>
      </c>
      <c r="F51" s="121"/>
      <c r="G51" s="125" t="str">
        <f>IFERROR($D$51:$D$55/$D$56,"")</f>
        <v/>
      </c>
      <c r="H51" s="122" t="str">
        <f ca="1">IFERROR(ROUND($D$21*E51*G51,2),"")</f>
        <v/>
      </c>
      <c r="L51" s="8"/>
      <c r="Q51" s="13"/>
    </row>
    <row r="52" spans="1:17" s="7" customFormat="1" hidden="1">
      <c r="A52" s="7">
        <v>2</v>
      </c>
      <c r="B52" s="7" t="str">
        <f>INDEX(Data!$D$3:$D$11,G7)</f>
        <v>Select State of Security</v>
      </c>
      <c r="C52" s="199" t="str">
        <f>INDEX(Data!$B$48:$B$50,H7)</f>
        <v>Occupancy Type</v>
      </c>
      <c r="D52" s="120">
        <f>I7</f>
        <v>0</v>
      </c>
      <c r="E52" s="121">
        <f>INDEX(Data!$B$3:$E$11,MATCH(B52,Data!$D$3:$D$11,0),2)</f>
        <v>0</v>
      </c>
      <c r="F52" s="121"/>
      <c r="G52" s="125" t="str">
        <f t="shared" ref="G52:G55" si="0">IFERROR($D$51:$D$55/$D$56,"")</f>
        <v/>
      </c>
      <c r="H52" s="122" t="str">
        <f t="shared" ref="H52:H55" ca="1" si="1">IFERROR(ROUND($D$21*E52*G52,2),"")</f>
        <v/>
      </c>
      <c r="L52" s="8"/>
      <c r="Q52" s="13"/>
    </row>
    <row r="53" spans="1:17" s="7" customFormat="1" hidden="1">
      <c r="A53" s="7">
        <v>3</v>
      </c>
      <c r="B53" s="7" t="str">
        <f>INDEX(Data!$D$3:$D$11,G8)</f>
        <v>Select State of Security</v>
      </c>
      <c r="C53" s="199" t="str">
        <f>INDEX(Data!$B$48:$B$50,H8)</f>
        <v>Occupancy Type</v>
      </c>
      <c r="D53" s="120">
        <f>I8</f>
        <v>0</v>
      </c>
      <c r="E53" s="121">
        <f>INDEX(Data!$B$3:$E$11,MATCH(B53,Data!$D$3:$D$11,0),2)</f>
        <v>0</v>
      </c>
      <c r="F53" s="121"/>
      <c r="G53" s="121" t="str">
        <f t="shared" si="0"/>
        <v/>
      </c>
      <c r="H53" s="122" t="str">
        <f t="shared" ca="1" si="1"/>
        <v/>
      </c>
      <c r="L53" s="8"/>
      <c r="Q53" s="13"/>
    </row>
    <row r="54" spans="1:17" s="7" customFormat="1" hidden="1">
      <c r="A54" s="7">
        <v>4</v>
      </c>
      <c r="B54" s="7" t="str">
        <f>INDEX(Data!$D$3:$D$11,G9)</f>
        <v>Select State of Security</v>
      </c>
      <c r="C54" s="199" t="str">
        <f>INDEX(Data!$B$48:$B$50,H9)</f>
        <v>Occupancy Type</v>
      </c>
      <c r="D54" s="7">
        <f t="shared" ref="D54:D55" si="2">I9</f>
        <v>0</v>
      </c>
      <c r="E54" s="121">
        <f>INDEX(Data!$B$3:$E$11,MATCH(B54,Data!$D$3:$D$11,0),2)</f>
        <v>0</v>
      </c>
      <c r="F54" s="121"/>
      <c r="G54" s="121" t="str">
        <f t="shared" si="0"/>
        <v/>
      </c>
      <c r="H54" s="122" t="str">
        <f t="shared" ca="1" si="1"/>
        <v/>
      </c>
      <c r="L54" s="8"/>
      <c r="Q54" s="13"/>
    </row>
    <row r="55" spans="1:17" s="7" customFormat="1" hidden="1">
      <c r="A55" s="7">
        <v>5</v>
      </c>
      <c r="B55" s="7" t="str">
        <f>INDEX(Data!$D$3:$D$11,G10)</f>
        <v>Select State of Security</v>
      </c>
      <c r="C55" s="199" t="str">
        <f>INDEX(Data!$B$48:$B$50,H10)</f>
        <v>Occupancy Type</v>
      </c>
      <c r="D55" s="7">
        <f t="shared" si="2"/>
        <v>0</v>
      </c>
      <c r="E55" s="121">
        <f>INDEX(Data!$B$3:$E$11,MATCH(B55,Data!$D$3:$D$11,0),2)</f>
        <v>0</v>
      </c>
      <c r="F55" s="121"/>
      <c r="G55" s="121" t="str">
        <f t="shared" si="0"/>
        <v/>
      </c>
      <c r="H55" s="122" t="str">
        <f t="shared" ca="1" si="1"/>
        <v/>
      </c>
      <c r="L55" s="8"/>
      <c r="Q55" s="13"/>
    </row>
    <row r="56" spans="1:17" s="7" customFormat="1" hidden="1">
      <c r="A56" s="124"/>
      <c r="B56" s="171" t="s">
        <v>1</v>
      </c>
      <c r="C56" s="124"/>
      <c r="D56" s="172">
        <f>SUM(D51:D55)</f>
        <v>0</v>
      </c>
      <c r="H56" s="173">
        <f ca="1">SUM(H51:H55)</f>
        <v>0</v>
      </c>
      <c r="L56" s="8"/>
      <c r="Q56" s="13"/>
    </row>
    <row r="57" spans="1:17" s="7" customFormat="1" hidden="1">
      <c r="I57" s="8"/>
      <c r="N57" s="13"/>
    </row>
    <row r="58" spans="1:17" s="7" customFormat="1" hidden="1">
      <c r="I58" s="8"/>
      <c r="N58" s="13"/>
    </row>
    <row r="59" spans="1:17" s="7" customFormat="1" hidden="1">
      <c r="B59" s="170" t="s">
        <v>149</v>
      </c>
      <c r="C59" s="124" t="s">
        <v>110</v>
      </c>
      <c r="D59" s="123" t="s">
        <v>150</v>
      </c>
      <c r="I59" s="8"/>
      <c r="N59" s="13"/>
    </row>
    <row r="60" spans="1:17" s="7" customFormat="1" hidden="1">
      <c r="B60" s="7" t="str">
        <f>Data!B49</f>
        <v>Owner Occupied</v>
      </c>
      <c r="C60" s="7">
        <f>SUMIFS($D$51:$D$55,$C$51:$C$55,$B60)</f>
        <v>0</v>
      </c>
      <c r="D60" s="121">
        <f>IFERROR(C60/SUM($C$60:$C$61),0)</f>
        <v>0</v>
      </c>
      <c r="I60" s="126"/>
      <c r="N60" s="13"/>
    </row>
    <row r="61" spans="1:17" s="7" customFormat="1" hidden="1">
      <c r="B61" s="7" t="str">
        <f>Data!B50</f>
        <v>Rental</v>
      </c>
      <c r="C61" s="7">
        <f>SUMIFS($D$51:$D$55,$C$51:$C$55,$B61)</f>
        <v>0</v>
      </c>
      <c r="D61" s="121">
        <f>IFERROR(C61/SUM($C$60:$C$61),0)</f>
        <v>0</v>
      </c>
      <c r="I61" s="126"/>
      <c r="N61" s="13"/>
    </row>
    <row r="62" spans="1:17" s="7" customFormat="1" hidden="1">
      <c r="B62" s="168" t="s">
        <v>151</v>
      </c>
      <c r="C62" s="208">
        <f>Data!D54</f>
        <v>0.5</v>
      </c>
      <c r="D62" s="170" t="str">
        <f>IF(D61&gt;C62,B61,B60)</f>
        <v>Owner Occupied</v>
      </c>
      <c r="E62" s="162"/>
      <c r="I62" s="126"/>
      <c r="N62" s="13"/>
    </row>
    <row r="63" spans="1:17" s="7" customFormat="1" hidden="1">
      <c r="E63" s="162"/>
      <c r="I63" s="126"/>
      <c r="N63" s="13"/>
    </row>
    <row r="64" spans="1:17" s="7" customFormat="1" hidden="1">
      <c r="B64" s="174" t="s">
        <v>118</v>
      </c>
      <c r="C64" s="181"/>
      <c r="D64" s="182"/>
      <c r="I64" s="8"/>
      <c r="N64" s="13"/>
    </row>
    <row r="65" spans="2:14" s="7" customFormat="1" hidden="1">
      <c r="B65" s="175" t="s">
        <v>113</v>
      </c>
      <c r="C65" s="176"/>
      <c r="D65" s="177">
        <f>C46</f>
        <v>0</v>
      </c>
      <c r="I65" s="8"/>
      <c r="N65" s="13"/>
    </row>
    <row r="66" spans="2:14" s="7" customFormat="1" hidden="1">
      <c r="B66" s="175" t="s">
        <v>119</v>
      </c>
      <c r="C66" s="176"/>
      <c r="D66" s="178">
        <f>D56</f>
        <v>0</v>
      </c>
      <c r="I66" s="8"/>
      <c r="N66" s="13"/>
    </row>
    <row r="67" spans="2:14" s="7" customFormat="1" hidden="1">
      <c r="B67" s="175" t="s">
        <v>120</v>
      </c>
      <c r="C67" s="176"/>
      <c r="D67" s="179" t="str">
        <f>IFERROR(ROUND(D65/D66,4),"Refer")</f>
        <v>Refer</v>
      </c>
      <c r="I67" s="8"/>
      <c r="N67" s="13"/>
    </row>
    <row r="68" spans="2:14" s="7" customFormat="1" hidden="1">
      <c r="B68" s="175" t="s">
        <v>121</v>
      </c>
      <c r="C68" s="176"/>
      <c r="D68" s="180" t="str">
        <f>VLOOKUP(C7,Data!A29:B30,2,0)</f>
        <v>New Loan</v>
      </c>
      <c r="I68" s="8"/>
      <c r="N68" s="13"/>
    </row>
    <row r="69" spans="2:14" s="7" customFormat="1" hidden="1">
      <c r="B69" s="175" t="s">
        <v>168</v>
      </c>
      <c r="C69" s="176"/>
      <c r="D69" s="180" t="str">
        <f>VLOOKUP(C9,Data!$A$40:$B$44,2,0)</f>
        <v>Purchase or Construction</v>
      </c>
      <c r="I69" s="8"/>
      <c r="N69" s="13"/>
    </row>
    <row r="70" spans="2:14" s="7" customFormat="1" hidden="1">
      <c r="B70" s="175" t="s">
        <v>4</v>
      </c>
      <c r="C70" s="176"/>
      <c r="D70" s="180" t="str">
        <f>VLOOKUP(C8,Data!$A$18:$B$21,2,0)</f>
        <v>Standard</v>
      </c>
      <c r="I70" s="8"/>
      <c r="N70" s="13"/>
    </row>
    <row r="71" spans="2:14" s="7" customFormat="1" hidden="1">
      <c r="B71" s="175" t="s">
        <v>152</v>
      </c>
      <c r="C71" s="176"/>
      <c r="D71" s="180" t="str">
        <f>D62</f>
        <v>Owner Occupied</v>
      </c>
      <c r="I71" s="8"/>
      <c r="N71" s="13"/>
    </row>
    <row r="72" spans="2:14" s="7" customFormat="1" hidden="1">
      <c r="B72" s="175" t="s">
        <v>144</v>
      </c>
      <c r="C72" s="176"/>
      <c r="D72" s="180" t="str">
        <f>VLOOKUP(C13,Data!$A$46:$B$47,2,0)</f>
        <v>No</v>
      </c>
      <c r="I72" s="8"/>
      <c r="N72" s="13"/>
    </row>
    <row r="73" spans="2:14" s="7" customFormat="1" hidden="1">
      <c r="B73" s="175" t="s">
        <v>124</v>
      </c>
      <c r="C73" s="176"/>
      <c r="D73" s="180" t="str">
        <f>VLOOKUP(C14,Data!$A$33:$B$34,2,0)</f>
        <v>No</v>
      </c>
      <c r="I73" s="8"/>
      <c r="N73" s="13"/>
    </row>
    <row r="74" spans="2:14" s="7" customFormat="1" hidden="1">
      <c r="B74" s="175" t="s">
        <v>131</v>
      </c>
      <c r="C74" s="176"/>
      <c r="D74" s="180" t="str">
        <f>VLOOKUP(C15,Data!$A$36:$B$38,2,0)</f>
        <v>Up to 30 years</v>
      </c>
      <c r="I74" s="8"/>
      <c r="N74" s="13"/>
    </row>
    <row r="75" spans="2:14" s="7" customFormat="1" hidden="1">
      <c r="B75" s="175" t="s">
        <v>127</v>
      </c>
      <c r="C75" s="176"/>
      <c r="D75" s="180" t="s">
        <v>15</v>
      </c>
      <c r="I75" s="8"/>
      <c r="N75" s="13"/>
    </row>
    <row r="76" spans="2:14" s="7" customFormat="1" hidden="1">
      <c r="D76" s="14"/>
      <c r="I76" s="8"/>
      <c r="N76" s="13"/>
    </row>
    <row r="77" spans="2:14" s="7" customFormat="1" hidden="1">
      <c r="I77" s="8"/>
      <c r="N77" s="13"/>
    </row>
    <row r="78" spans="2:14" s="7" customFormat="1" hidden="1">
      <c r="B78" s="123" t="s">
        <v>143</v>
      </c>
      <c r="C78" s="123"/>
      <c r="D78" s="123" t="str">
        <f>IF(AND(D70="Standard",D73="No"),"Standard",IF(AND(D70="Standard",D73="Yes"),"Standard_FHB",IF(AND(D70="Business Select",D73="No"),"Business_Select",IF(AND(D70="Business Select",D73="Yes"),"Business_Select_FHB",IF(AND(D70="HomeBuyer Plus",D73="No"),"HomeBuyer_Plus",IF(AND(D70="HomeBuyer Plus",D73="Yes"),"Homebuyer_Plus_FHB",""))))))</f>
        <v>Standard</v>
      </c>
      <c r="I78" s="8"/>
      <c r="N78" s="13"/>
    </row>
    <row r="79" spans="2:14" s="7" customFormat="1" hidden="1">
      <c r="I79" s="8"/>
      <c r="N79" s="13"/>
    </row>
    <row r="80" spans="2:14" s="7" customFormat="1" hidden="1">
      <c r="B80" s="184" t="s">
        <v>0</v>
      </c>
      <c r="C80" s="185"/>
      <c r="D80" s="186" t="s">
        <v>128</v>
      </c>
      <c r="E80" s="220" t="s">
        <v>129</v>
      </c>
      <c r="I80" s="124"/>
      <c r="N80" s="13"/>
    </row>
    <row r="81" spans="2:14" s="7" customFormat="1" hidden="1">
      <c r="B81" s="7" t="s">
        <v>122</v>
      </c>
      <c r="C81" s="125"/>
      <c r="D81" s="14" t="str">
        <f ca="1">IF(D75="Yes",IF(OR(D65="Refer",D67="Refer",D75="Refer"),"Refer",INDEX(INDIRECT(D78),MATCH($D$67,LVR,1),MATCH($D$65,LoanSize,1))),"")</f>
        <v/>
      </c>
      <c r="E81" s="210" t="str">
        <f ca="1">IF(D75="No",IF(OR(D65="Refer",D67="Refer",D75="Refer"),"Refer",INDEX(INDIRECT(D78),MATCH($D$67,LVR,1),MATCH($D$65,LoanSize,1))),"")</f>
        <v>Refer</v>
      </c>
      <c r="I81" s="8"/>
      <c r="N81" s="13"/>
    </row>
    <row r="82" spans="2:14" s="7" customFormat="1" hidden="1">
      <c r="B82" s="153" t="s">
        <v>130</v>
      </c>
      <c r="C82" s="128"/>
      <c r="D82" s="183" t="str">
        <f>IF(D75="Yes",VLOOKUP(D74,Data!$B$36:$C$38,2,0),"")</f>
        <v/>
      </c>
      <c r="E82" s="211">
        <f>IF(D75="No",VLOOKUP(D74,Data!$B$36:$C$38,2,0),"")</f>
        <v>1</v>
      </c>
      <c r="I82" s="8"/>
      <c r="N82" s="13"/>
    </row>
    <row r="83" spans="2:14" s="7" customFormat="1" hidden="1">
      <c r="B83" s="153" t="s">
        <v>169</v>
      </c>
      <c r="C83" s="128"/>
      <c r="D83" s="183" t="str">
        <f>IF(D75="Yes",IF(C7=2,1,VLOOKUP(D69,Data!$B$40:$C$44,2,0)),"")</f>
        <v/>
      </c>
      <c r="E83" s="211">
        <f>IF(D75="No",IF(C7=2,1,VLOOKUP(D69,Data!$B$40:$C$44,2,0)),"")</f>
        <v>1</v>
      </c>
      <c r="I83" s="8"/>
      <c r="N83" s="13"/>
    </row>
    <row r="84" spans="2:14" s="7" customFormat="1" hidden="1">
      <c r="B84" s="153" t="s">
        <v>125</v>
      </c>
      <c r="C84" s="128"/>
      <c r="D84" s="183" t="str">
        <f>IF(D75="Yes",VLOOKUP(D72,Data!$B$46:$C$47,2,0),"")</f>
        <v/>
      </c>
      <c r="E84" s="211">
        <f>IF(D75="No",IF(C8=2,1,VLOOKUP(D72,Data!$B$46:$C$47,2,0)),"")</f>
        <v>1</v>
      </c>
      <c r="I84" s="8"/>
      <c r="N84" s="13"/>
    </row>
    <row r="85" spans="2:14" s="7" customFormat="1" hidden="1">
      <c r="B85" s="153" t="s">
        <v>133</v>
      </c>
      <c r="C85" s="128"/>
      <c r="D85" s="202" t="str">
        <f>IF(D75="Yes",VLOOKUP(D71,Data!$B$49:$C$50,2,0),"")</f>
        <v/>
      </c>
      <c r="E85" s="211">
        <f>IF(D75="No",VLOOKUP(D71,Data!$B$49:$C$50,2,0),"")</f>
        <v>1</v>
      </c>
      <c r="I85" s="8"/>
      <c r="N85" s="13"/>
    </row>
    <row r="86" spans="2:14" s="7" customFormat="1" hidden="1">
      <c r="B86" s="7" t="s">
        <v>123</v>
      </c>
      <c r="C86" s="125"/>
      <c r="D86" s="201">
        <f>PRODUCT(D82:D85)</f>
        <v>0</v>
      </c>
      <c r="E86" s="210">
        <f ca="1">ROUND(PRODUCT(E81:E85),2)</f>
        <v>1</v>
      </c>
      <c r="I86" s="8"/>
      <c r="N86" s="13"/>
    </row>
    <row r="87" spans="2:14" s="7" customFormat="1" hidden="1">
      <c r="D87" s="14"/>
      <c r="E87" s="14"/>
      <c r="I87" s="8"/>
      <c r="N87" s="13"/>
    </row>
    <row r="88" spans="2:14" s="7" customFormat="1" hidden="1">
      <c r="B88" s="168" t="s">
        <v>132</v>
      </c>
      <c r="C88" s="187"/>
      <c r="D88" s="203" t="str">
        <f ca="1">IFERROR(D81*D86,"")</f>
        <v/>
      </c>
      <c r="E88" s="188" t="str">
        <f ca="1">IF(E81="Refer","Refer",D65*E86/100)</f>
        <v>Refer</v>
      </c>
      <c r="I88" s="8"/>
      <c r="N88" s="13"/>
    </row>
    <row r="89" spans="2:14" s="7" customFormat="1" hidden="1">
      <c r="I89" s="8"/>
      <c r="N89" s="13"/>
    </row>
    <row r="90" spans="2:14" s="7" customFormat="1" hidden="1">
      <c r="B90" s="123"/>
      <c r="I90" s="8"/>
      <c r="N90" s="13"/>
    </row>
    <row r="91" spans="2:14" s="7" customFormat="1" hidden="1">
      <c r="B91" s="170" t="s">
        <v>154</v>
      </c>
      <c r="C91" s="123"/>
      <c r="D91" s="124"/>
      <c r="E91" s="123"/>
      <c r="I91" s="8"/>
      <c r="N91" s="13"/>
    </row>
    <row r="92" spans="2:14" s="7" customFormat="1" hidden="1">
      <c r="B92" s="168" t="s">
        <v>155</v>
      </c>
      <c r="C92" s="168" t="s">
        <v>4</v>
      </c>
      <c r="D92" s="189"/>
      <c r="E92" s="171" t="s">
        <v>156</v>
      </c>
      <c r="F92" s="189"/>
      <c r="G92" s="171" t="s">
        <v>161</v>
      </c>
      <c r="H92" s="168" t="s">
        <v>159</v>
      </c>
      <c r="I92" s="8"/>
      <c r="N92" s="13"/>
    </row>
    <row r="93" spans="2:14" s="7" customFormat="1" hidden="1">
      <c r="B93" s="7" t="s">
        <v>62</v>
      </c>
      <c r="C93" s="7" t="s">
        <v>126</v>
      </c>
      <c r="E93" s="14" t="s">
        <v>157</v>
      </c>
      <c r="G93" s="14" t="str">
        <f>IF(AND($D$70=C93),"Yes","No")</f>
        <v>Yes</v>
      </c>
      <c r="H93" s="14">
        <f>VLOOKUP(C93,Data!$B$18:$F$21,5,0)</f>
        <v>1200</v>
      </c>
      <c r="I93" s="8"/>
      <c r="N93" s="13"/>
    </row>
    <row r="94" spans="2:14" s="7" customFormat="1" hidden="1">
      <c r="B94" s="7" t="s">
        <v>62</v>
      </c>
      <c r="C94" s="7" t="s">
        <v>181</v>
      </c>
      <c r="E94" s="14" t="s">
        <v>157</v>
      </c>
      <c r="G94" s="14" t="str">
        <f>IF(AND($D$70=C94),"Yes","No")</f>
        <v>No</v>
      </c>
      <c r="H94" s="14">
        <f>VLOOKUP(C94,Data!$B$18:$F$21,5,0)</f>
        <v>1200</v>
      </c>
      <c r="I94" s="8"/>
      <c r="N94" s="13"/>
    </row>
    <row r="95" spans="2:14" s="7" customFormat="1" hidden="1">
      <c r="B95" s="7" t="s">
        <v>62</v>
      </c>
      <c r="C95" s="7" t="s">
        <v>20</v>
      </c>
      <c r="E95" s="14" t="s">
        <v>157</v>
      </c>
      <c r="G95" s="14" t="str">
        <f>IF(AND($D$70=C95),"Yes","No")</f>
        <v>No</v>
      </c>
      <c r="H95" s="14">
        <f>VLOOKUP(C95,Data!$B$18:$F$21,5,0)</f>
        <v>1200</v>
      </c>
      <c r="I95" s="8"/>
      <c r="N95" s="13"/>
    </row>
    <row r="96" spans="2:14" s="7" customFormat="1" hidden="1">
      <c r="B96" s="7" t="s">
        <v>62</v>
      </c>
      <c r="C96" s="7" t="s">
        <v>19</v>
      </c>
      <c r="E96" s="14" t="s">
        <v>157</v>
      </c>
      <c r="G96" s="14" t="str">
        <f>IF(AND($D$70=C96),"Yes","No")</f>
        <v>No</v>
      </c>
      <c r="H96" s="14">
        <f>VLOOKUP(C96,Data!$B$18:$F$21,5,0)</f>
        <v>1500</v>
      </c>
      <c r="I96" s="8"/>
      <c r="N96" s="13"/>
    </row>
    <row r="97" spans="2:14" s="7" customFormat="1" hidden="1">
      <c r="B97" s="7" t="s">
        <v>11</v>
      </c>
      <c r="C97" s="7" t="s">
        <v>158</v>
      </c>
      <c r="E97" s="14" t="s">
        <v>160</v>
      </c>
      <c r="G97" s="14" t="str">
        <f>IF(AND($D$68=B97,$D$65&gt;500000),"Yes","No")</f>
        <v>No</v>
      </c>
      <c r="H97" s="7">
        <f>Data!D52</f>
        <v>1500</v>
      </c>
      <c r="I97" s="8"/>
      <c r="N97" s="13"/>
    </row>
    <row r="98" spans="2:14" s="7" customFormat="1" hidden="1">
      <c r="E98" s="14"/>
      <c r="G98" s="14"/>
      <c r="I98" s="8"/>
      <c r="N98" s="13"/>
    </row>
    <row r="99" spans="2:14" s="7" customFormat="1" hidden="1">
      <c r="E99" s="14"/>
      <c r="G99" s="124" t="s">
        <v>162</v>
      </c>
      <c r="H99" s="127">
        <f t="array" ref="H99">MAX(IF($G$93:$G$97="Yes",$H$93:$H$97))</f>
        <v>1200</v>
      </c>
      <c r="I99" s="8"/>
      <c r="N99" s="13"/>
    </row>
    <row r="100" spans="2:14" s="7" customFormat="1" hidden="1">
      <c r="E100" s="14"/>
      <c r="G100" s="14"/>
      <c r="I100" s="8"/>
      <c r="N100" s="13"/>
    </row>
    <row r="101" spans="2:14" s="7" customFormat="1" hidden="1">
      <c r="G101" s="124" t="s">
        <v>163</v>
      </c>
      <c r="H101" s="14" t="str">
        <f ca="1">IF(NOW()-C38&gt;0,"Calculator expired",IF(OR(E88="Refer",D88="Refer"),"Refer",MAX(D88,E88)))</f>
        <v>Refer</v>
      </c>
      <c r="I101" s="8"/>
      <c r="N101" s="13"/>
    </row>
    <row r="102" spans="2:14" s="7" customFormat="1" hidden="1">
      <c r="G102" s="199" t="s">
        <v>164</v>
      </c>
      <c r="H102" s="7">
        <f>IF(C7=2,IF(C10&gt;0,C12,0),0)</f>
        <v>0</v>
      </c>
      <c r="I102" s="8"/>
      <c r="N102" s="13"/>
    </row>
    <row r="103" spans="2:14" s="7" customFormat="1" hidden="1">
      <c r="G103" s="124" t="s">
        <v>165</v>
      </c>
      <c r="H103" s="161" t="str">
        <f ca="1">IF(H101="Refer","Refer",H101-H102)</f>
        <v>Refer</v>
      </c>
      <c r="I103" s="8"/>
      <c r="N103" s="13"/>
    </row>
    <row r="104" spans="2:14" s="7" customFormat="1" hidden="1">
      <c r="I104" s="8"/>
      <c r="N104" s="13"/>
    </row>
    <row r="105" spans="2:14" s="7" customFormat="1" hidden="1">
      <c r="G105" s="124" t="s">
        <v>166</v>
      </c>
      <c r="H105" s="14" t="str">
        <f ca="1">IF(H103="Refer","Refer",MAX(H99,H103))</f>
        <v>Refer</v>
      </c>
      <c r="I105" s="8"/>
      <c r="N105" s="13"/>
    </row>
    <row r="106" spans="2:14" s="7" customFormat="1">
      <c r="I106" s="8"/>
      <c r="N106" s="13"/>
    </row>
    <row r="107" spans="2:14" s="7" customFormat="1">
      <c r="I107" s="8"/>
      <c r="N107" s="13"/>
    </row>
    <row r="108" spans="2:14" s="7" customFormat="1">
      <c r="I108" s="8"/>
      <c r="N108" s="13"/>
    </row>
    <row r="109" spans="2:14" s="7" customFormat="1">
      <c r="I109" s="8"/>
      <c r="N109" s="13"/>
    </row>
    <row r="110" spans="2:14" s="7" customFormat="1">
      <c r="I110" s="8"/>
      <c r="N110" s="13"/>
    </row>
    <row r="111" spans="2:14" s="7" customFormat="1">
      <c r="I111" s="8"/>
      <c r="N111" s="13"/>
    </row>
    <row r="112" spans="2:14" s="7" customFormat="1">
      <c r="I112" s="8"/>
      <c r="N112" s="13"/>
    </row>
    <row r="113" spans="9:14" s="7" customFormat="1">
      <c r="I113" s="8"/>
      <c r="N113" s="13"/>
    </row>
    <row r="114" spans="9:14" s="7" customFormat="1">
      <c r="I114" s="8"/>
      <c r="N114" s="13"/>
    </row>
    <row r="115" spans="9:14" s="7" customFormat="1">
      <c r="I115" s="8"/>
      <c r="N115" s="13"/>
    </row>
    <row r="116" spans="9:14" s="7" customFormat="1">
      <c r="I116" s="8"/>
      <c r="N116" s="13"/>
    </row>
    <row r="117" spans="9:14" s="7" customFormat="1">
      <c r="I117" s="8"/>
      <c r="N117" s="13"/>
    </row>
    <row r="118" spans="9:14" s="7" customFormat="1">
      <c r="I118" s="8"/>
      <c r="N118" s="13"/>
    </row>
    <row r="119" spans="9:14" s="7" customFormat="1">
      <c r="I119" s="8"/>
      <c r="N119" s="13"/>
    </row>
    <row r="120" spans="9:14" s="7" customFormat="1">
      <c r="I120" s="8"/>
      <c r="N120" s="13"/>
    </row>
    <row r="121" spans="9:14" s="7" customFormat="1">
      <c r="I121" s="8"/>
      <c r="N121" s="13"/>
    </row>
    <row r="122" spans="9:14" s="7" customFormat="1">
      <c r="I122" s="8"/>
      <c r="N122" s="13"/>
    </row>
    <row r="123" spans="9:14" s="7" customFormat="1">
      <c r="I123" s="8"/>
      <c r="N123" s="13"/>
    </row>
    <row r="124" spans="9:14" s="7" customFormat="1">
      <c r="I124" s="8"/>
      <c r="N124" s="13"/>
    </row>
    <row r="125" spans="9:14" s="7" customFormat="1">
      <c r="I125" s="8"/>
      <c r="N125" s="13"/>
    </row>
    <row r="126" spans="9:14" s="7" customFormat="1">
      <c r="I126" s="8"/>
      <c r="N126" s="13"/>
    </row>
    <row r="127" spans="9:14" s="7" customFormat="1">
      <c r="I127" s="8"/>
      <c r="N127" s="13"/>
    </row>
    <row r="128" spans="9:14" s="7" customFormat="1">
      <c r="I128" s="8"/>
      <c r="N128" s="13"/>
    </row>
    <row r="129" spans="9:14" s="7" customFormat="1">
      <c r="I129" s="8"/>
      <c r="N129" s="13"/>
    </row>
    <row r="130" spans="9:14" s="7" customFormat="1">
      <c r="I130" s="8"/>
      <c r="N130" s="13"/>
    </row>
    <row r="131" spans="9:14" s="7" customFormat="1">
      <c r="I131" s="8"/>
      <c r="N131" s="13"/>
    </row>
    <row r="132" spans="9:14" s="7" customFormat="1">
      <c r="I132" s="8"/>
      <c r="N132" s="13"/>
    </row>
    <row r="133" spans="9:14" s="7" customFormat="1">
      <c r="I133" s="8"/>
      <c r="N133" s="13"/>
    </row>
    <row r="134" spans="9:14" s="7" customFormat="1">
      <c r="I134" s="8"/>
      <c r="N134" s="13"/>
    </row>
    <row r="135" spans="9:14" s="7" customFormat="1">
      <c r="I135" s="8"/>
      <c r="N135" s="13"/>
    </row>
    <row r="136" spans="9:14" s="7" customFormat="1">
      <c r="I136" s="8"/>
      <c r="N136" s="13"/>
    </row>
    <row r="137" spans="9:14" s="7" customFormat="1">
      <c r="I137" s="8"/>
      <c r="N137" s="13"/>
    </row>
    <row r="138" spans="9:14" s="7" customFormat="1">
      <c r="I138" s="8"/>
      <c r="N138" s="13"/>
    </row>
    <row r="139" spans="9:14" s="7" customFormat="1">
      <c r="I139" s="8"/>
      <c r="N139" s="13"/>
    </row>
    <row r="140" spans="9:14" s="7" customFormat="1">
      <c r="I140" s="8"/>
      <c r="N140" s="13"/>
    </row>
    <row r="141" spans="9:14" s="7" customFormat="1">
      <c r="I141" s="8"/>
      <c r="N141" s="13"/>
    </row>
    <row r="142" spans="9:14" s="7" customFormat="1">
      <c r="I142" s="8"/>
      <c r="N142" s="13"/>
    </row>
    <row r="143" spans="9:14" s="7" customFormat="1">
      <c r="I143" s="8"/>
      <c r="N143" s="13"/>
    </row>
    <row r="144" spans="9:14" s="7" customFormat="1">
      <c r="I144" s="8"/>
      <c r="N144" s="13"/>
    </row>
    <row r="145" spans="9:14" s="7" customFormat="1">
      <c r="I145" s="8"/>
      <c r="N145" s="13"/>
    </row>
    <row r="146" spans="9:14" s="7" customFormat="1">
      <c r="I146" s="8"/>
      <c r="N146" s="13"/>
    </row>
    <row r="147" spans="9:14" s="7" customFormat="1">
      <c r="I147" s="8"/>
      <c r="N147" s="13"/>
    </row>
    <row r="148" spans="9:14" s="7" customFormat="1">
      <c r="I148" s="8"/>
      <c r="N148" s="13"/>
    </row>
    <row r="149" spans="9:14" s="7" customFormat="1">
      <c r="I149" s="8"/>
      <c r="N149" s="13"/>
    </row>
    <row r="150" spans="9:14" s="7" customFormat="1">
      <c r="I150" s="8"/>
      <c r="N150" s="13"/>
    </row>
    <row r="151" spans="9:14" s="7" customFormat="1">
      <c r="I151" s="8"/>
      <c r="N151" s="13"/>
    </row>
    <row r="152" spans="9:14" s="7" customFormat="1">
      <c r="I152" s="8"/>
      <c r="N152" s="13"/>
    </row>
    <row r="153" spans="9:14" s="7" customFormat="1">
      <c r="I153" s="8"/>
      <c r="N153" s="13"/>
    </row>
    <row r="154" spans="9:14" s="7" customFormat="1">
      <c r="I154" s="8"/>
      <c r="N154" s="13"/>
    </row>
    <row r="155" spans="9:14" s="7" customFormat="1">
      <c r="I155" s="8"/>
      <c r="N155" s="13"/>
    </row>
    <row r="156" spans="9:14" s="7" customFormat="1">
      <c r="I156" s="8"/>
      <c r="N156" s="13"/>
    </row>
    <row r="157" spans="9:14" s="7" customFormat="1">
      <c r="I157" s="8"/>
      <c r="N157" s="13"/>
    </row>
    <row r="158" spans="9:14" s="7" customFormat="1">
      <c r="I158" s="8"/>
      <c r="N158" s="13"/>
    </row>
    <row r="159" spans="9:14" s="7" customFormat="1">
      <c r="I159" s="8"/>
      <c r="N159" s="13"/>
    </row>
    <row r="160" spans="9:14" s="7" customFormat="1">
      <c r="I160" s="8"/>
      <c r="N160" s="13"/>
    </row>
    <row r="161" spans="9:14" s="7" customFormat="1">
      <c r="I161" s="8"/>
      <c r="N161" s="13"/>
    </row>
    <row r="162" spans="9:14" s="7" customFormat="1">
      <c r="I162" s="8"/>
      <c r="N162" s="13"/>
    </row>
    <row r="163" spans="9:14" s="7" customFormat="1">
      <c r="I163" s="8"/>
      <c r="N163" s="13"/>
    </row>
    <row r="164" spans="9:14" s="7" customFormat="1">
      <c r="I164" s="8"/>
      <c r="N164" s="13"/>
    </row>
    <row r="165" spans="9:14" s="7" customFormat="1">
      <c r="I165" s="8"/>
      <c r="N165" s="13"/>
    </row>
    <row r="166" spans="9:14" s="7" customFormat="1">
      <c r="I166" s="8"/>
      <c r="N166" s="13"/>
    </row>
    <row r="167" spans="9:14" s="7" customFormat="1">
      <c r="I167" s="8"/>
      <c r="N167" s="13"/>
    </row>
    <row r="168" spans="9:14" s="7" customFormat="1">
      <c r="I168" s="8"/>
      <c r="N168" s="13"/>
    </row>
    <row r="169" spans="9:14" s="7" customFormat="1">
      <c r="I169" s="8"/>
      <c r="N169" s="13"/>
    </row>
    <row r="170" spans="9:14" s="7" customFormat="1">
      <c r="I170" s="8"/>
      <c r="N170" s="13"/>
    </row>
    <row r="171" spans="9:14" s="7" customFormat="1">
      <c r="I171" s="8"/>
      <c r="N171" s="13"/>
    </row>
    <row r="172" spans="9:14" s="7" customFormat="1">
      <c r="I172" s="8"/>
      <c r="N172" s="13"/>
    </row>
    <row r="173" spans="9:14" s="7" customFormat="1">
      <c r="I173" s="8"/>
      <c r="N173" s="13"/>
    </row>
    <row r="174" spans="9:14" s="7" customFormat="1">
      <c r="I174" s="8"/>
      <c r="N174" s="13"/>
    </row>
    <row r="175" spans="9:14" s="7" customFormat="1">
      <c r="I175" s="8"/>
      <c r="N175" s="13"/>
    </row>
    <row r="176" spans="9:14" s="7" customFormat="1">
      <c r="I176" s="8"/>
      <c r="N176" s="13"/>
    </row>
    <row r="177" spans="9:14" s="7" customFormat="1">
      <c r="I177" s="8"/>
      <c r="N177" s="13"/>
    </row>
    <row r="178" spans="9:14" s="7" customFormat="1">
      <c r="I178" s="8"/>
      <c r="N178" s="13"/>
    </row>
    <row r="179" spans="9:14" s="7" customFormat="1">
      <c r="I179" s="8"/>
      <c r="N179" s="13"/>
    </row>
    <row r="180" spans="9:14" s="7" customFormat="1">
      <c r="I180" s="8"/>
      <c r="N180" s="13"/>
    </row>
    <row r="181" spans="9:14" s="7" customFormat="1">
      <c r="I181" s="8"/>
      <c r="N181" s="13"/>
    </row>
    <row r="182" spans="9:14" s="7" customFormat="1">
      <c r="I182" s="8"/>
      <c r="N182" s="13"/>
    </row>
    <row r="183" spans="9:14" s="7" customFormat="1">
      <c r="I183" s="8"/>
      <c r="N183" s="13"/>
    </row>
    <row r="184" spans="9:14" s="7" customFormat="1">
      <c r="I184" s="8"/>
      <c r="N184" s="13"/>
    </row>
    <row r="185" spans="9:14" s="7" customFormat="1">
      <c r="I185" s="8"/>
      <c r="N185" s="13"/>
    </row>
    <row r="186" spans="9:14" s="7" customFormat="1">
      <c r="I186" s="8"/>
      <c r="N186" s="13"/>
    </row>
    <row r="187" spans="9:14" s="7" customFormat="1">
      <c r="I187" s="8"/>
      <c r="N187" s="13"/>
    </row>
    <row r="188" spans="9:14" s="7" customFormat="1">
      <c r="I188" s="8"/>
      <c r="N188" s="13"/>
    </row>
    <row r="189" spans="9:14" s="7" customFormat="1">
      <c r="I189" s="8"/>
      <c r="N189" s="13"/>
    </row>
    <row r="190" spans="9:14" s="7" customFormat="1">
      <c r="I190" s="8"/>
      <c r="N190" s="13"/>
    </row>
    <row r="191" spans="9:14" s="7" customFormat="1">
      <c r="I191" s="8"/>
      <c r="N191" s="13"/>
    </row>
    <row r="192" spans="9:14" s="7" customFormat="1">
      <c r="I192" s="8"/>
      <c r="N192" s="13"/>
    </row>
    <row r="193" spans="9:14" s="7" customFormat="1">
      <c r="I193" s="8"/>
      <c r="N193" s="13"/>
    </row>
    <row r="194" spans="9:14" s="7" customFormat="1">
      <c r="I194" s="8"/>
      <c r="N194" s="13"/>
    </row>
    <row r="195" spans="9:14" s="7" customFormat="1">
      <c r="I195" s="8"/>
      <c r="N195" s="13"/>
    </row>
    <row r="196" spans="9:14" s="7" customFormat="1">
      <c r="I196" s="8"/>
      <c r="N196" s="13"/>
    </row>
    <row r="197" spans="9:14" s="7" customFormat="1">
      <c r="I197" s="8"/>
      <c r="N197" s="13"/>
    </row>
    <row r="198" spans="9:14" s="7" customFormat="1">
      <c r="I198" s="8"/>
      <c r="N198" s="13"/>
    </row>
    <row r="199" spans="9:14" s="7" customFormat="1">
      <c r="I199" s="8"/>
      <c r="N199" s="13"/>
    </row>
    <row r="200" spans="9:14" s="7" customFormat="1">
      <c r="I200" s="8"/>
      <c r="N200" s="13"/>
    </row>
    <row r="201" spans="9:14" s="7" customFormat="1">
      <c r="I201" s="8"/>
      <c r="N201" s="13"/>
    </row>
    <row r="202" spans="9:14" s="7" customFormat="1">
      <c r="I202" s="8"/>
      <c r="N202" s="13"/>
    </row>
    <row r="203" spans="9:14" s="7" customFormat="1">
      <c r="I203" s="8"/>
      <c r="N203" s="13"/>
    </row>
    <row r="204" spans="9:14" s="7" customFormat="1">
      <c r="I204" s="8"/>
      <c r="N204" s="13"/>
    </row>
    <row r="205" spans="9:14" s="7" customFormat="1">
      <c r="I205" s="8"/>
      <c r="N205" s="13"/>
    </row>
    <row r="206" spans="9:14" s="7" customFormat="1">
      <c r="I206" s="8"/>
      <c r="N206" s="13"/>
    </row>
    <row r="207" spans="9:14" s="7" customFormat="1">
      <c r="I207" s="8"/>
      <c r="N207" s="13"/>
    </row>
    <row r="208" spans="9:14" s="7" customFormat="1">
      <c r="I208" s="8"/>
      <c r="N208" s="13"/>
    </row>
    <row r="209" spans="9:14" s="7" customFormat="1">
      <c r="I209" s="8"/>
      <c r="N209" s="13"/>
    </row>
    <row r="210" spans="9:14" s="7" customFormat="1">
      <c r="I210" s="8"/>
      <c r="N210" s="13"/>
    </row>
    <row r="211" spans="9:14" s="7" customFormat="1">
      <c r="I211" s="8"/>
      <c r="N211" s="13"/>
    </row>
    <row r="212" spans="9:14" s="7" customFormat="1">
      <c r="I212" s="8"/>
      <c r="N212" s="13"/>
    </row>
    <row r="213" spans="9:14" s="7" customFormat="1">
      <c r="I213" s="8"/>
      <c r="N213" s="13"/>
    </row>
    <row r="214" spans="9:14" s="7" customFormat="1">
      <c r="I214" s="8"/>
      <c r="N214" s="13"/>
    </row>
    <row r="215" spans="9:14" s="7" customFormat="1">
      <c r="I215" s="8"/>
      <c r="N215" s="13"/>
    </row>
    <row r="216" spans="9:14" s="7" customFormat="1">
      <c r="I216" s="8"/>
      <c r="N216" s="13"/>
    </row>
    <row r="217" spans="9:14" s="7" customFormat="1">
      <c r="I217" s="8"/>
      <c r="N217" s="13"/>
    </row>
    <row r="218" spans="9:14" s="7" customFormat="1">
      <c r="I218" s="8"/>
      <c r="N218" s="13"/>
    </row>
    <row r="219" spans="9:14" s="7" customFormat="1">
      <c r="I219" s="8"/>
      <c r="N219" s="13"/>
    </row>
    <row r="220" spans="9:14" s="7" customFormat="1">
      <c r="I220" s="8"/>
      <c r="N220" s="13"/>
    </row>
    <row r="221" spans="9:14" s="7" customFormat="1">
      <c r="I221" s="8"/>
      <c r="N221" s="13"/>
    </row>
    <row r="222" spans="9:14" s="7" customFormat="1">
      <c r="I222" s="8"/>
      <c r="N222" s="13"/>
    </row>
    <row r="223" spans="9:14" s="7" customFormat="1">
      <c r="I223" s="8"/>
      <c r="N223" s="13"/>
    </row>
    <row r="224" spans="9:14" s="7" customFormat="1">
      <c r="I224" s="8"/>
      <c r="N224" s="13"/>
    </row>
    <row r="225" spans="9:14" s="7" customFormat="1">
      <c r="I225" s="8"/>
      <c r="N225" s="13"/>
    </row>
    <row r="226" spans="9:14" s="7" customFormat="1">
      <c r="I226" s="8"/>
      <c r="N226" s="13"/>
    </row>
    <row r="227" spans="9:14" s="7" customFormat="1">
      <c r="I227" s="8"/>
      <c r="N227" s="13"/>
    </row>
    <row r="228" spans="9:14" s="7" customFormat="1">
      <c r="I228" s="8"/>
      <c r="N228" s="13"/>
    </row>
    <row r="229" spans="9:14" s="7" customFormat="1">
      <c r="I229" s="8"/>
      <c r="N229" s="13"/>
    </row>
    <row r="230" spans="9:14" s="7" customFormat="1">
      <c r="I230" s="8"/>
      <c r="N230" s="13"/>
    </row>
    <row r="231" spans="9:14" s="7" customFormat="1">
      <c r="I231" s="8"/>
      <c r="N231" s="13"/>
    </row>
    <row r="232" spans="9:14" s="7" customFormat="1">
      <c r="I232" s="8"/>
      <c r="N232" s="13"/>
    </row>
    <row r="233" spans="9:14" s="7" customFormat="1">
      <c r="I233" s="8"/>
      <c r="N233" s="13"/>
    </row>
    <row r="234" spans="9:14" s="7" customFormat="1">
      <c r="I234" s="8"/>
      <c r="N234" s="13"/>
    </row>
    <row r="235" spans="9:14" s="7" customFormat="1">
      <c r="I235" s="8"/>
      <c r="N235" s="13"/>
    </row>
    <row r="236" spans="9:14" s="7" customFormat="1">
      <c r="I236" s="8"/>
      <c r="N236" s="13"/>
    </row>
    <row r="237" spans="9:14" s="7" customFormat="1">
      <c r="I237" s="8"/>
      <c r="N237" s="13"/>
    </row>
    <row r="238" spans="9:14" s="7" customFormat="1">
      <c r="I238" s="8"/>
      <c r="N238" s="13"/>
    </row>
    <row r="239" spans="9:14" s="7" customFormat="1">
      <c r="I239" s="8"/>
      <c r="N239" s="13"/>
    </row>
    <row r="240" spans="9:14" s="7" customFormat="1">
      <c r="I240" s="8"/>
      <c r="N240" s="13"/>
    </row>
    <row r="241" spans="9:14" s="7" customFormat="1">
      <c r="I241" s="8"/>
      <c r="N241" s="13"/>
    </row>
    <row r="242" spans="9:14" s="7" customFormat="1">
      <c r="I242" s="8"/>
      <c r="N242" s="13"/>
    </row>
    <row r="243" spans="9:14" s="7" customFormat="1">
      <c r="I243" s="8"/>
      <c r="N243" s="13"/>
    </row>
    <row r="244" spans="9:14" s="7" customFormat="1">
      <c r="I244" s="8"/>
      <c r="N244" s="13"/>
    </row>
    <row r="245" spans="9:14" s="7" customFormat="1">
      <c r="I245" s="8"/>
      <c r="N245" s="13"/>
    </row>
    <row r="246" spans="9:14" s="7" customFormat="1">
      <c r="I246" s="8"/>
      <c r="N246" s="13"/>
    </row>
    <row r="247" spans="9:14" s="7" customFormat="1">
      <c r="I247" s="8"/>
      <c r="N247" s="13"/>
    </row>
    <row r="248" spans="9:14" s="7" customFormat="1">
      <c r="I248" s="8"/>
      <c r="N248" s="13"/>
    </row>
    <row r="249" spans="9:14" s="7" customFormat="1">
      <c r="I249" s="8"/>
      <c r="N249" s="13"/>
    </row>
    <row r="250" spans="9:14" s="7" customFormat="1">
      <c r="I250" s="8"/>
      <c r="N250" s="13"/>
    </row>
    <row r="251" spans="9:14" s="7" customFormat="1">
      <c r="I251" s="8"/>
      <c r="N251" s="13"/>
    </row>
    <row r="252" spans="9:14" s="7" customFormat="1">
      <c r="I252" s="8"/>
      <c r="N252" s="13"/>
    </row>
    <row r="253" spans="9:14" s="7" customFormat="1">
      <c r="I253" s="8"/>
      <c r="N253" s="13"/>
    </row>
    <row r="254" spans="9:14" s="7" customFormat="1">
      <c r="I254" s="8"/>
      <c r="N254" s="13"/>
    </row>
    <row r="255" spans="9:14" s="7" customFormat="1">
      <c r="I255" s="8"/>
      <c r="N255" s="13"/>
    </row>
    <row r="256" spans="9:14" s="7" customFormat="1">
      <c r="I256" s="8"/>
      <c r="N256" s="13"/>
    </row>
    <row r="257" spans="9:14" s="7" customFormat="1">
      <c r="I257" s="8"/>
      <c r="N257" s="13"/>
    </row>
    <row r="258" spans="9:14" s="7" customFormat="1">
      <c r="I258" s="8"/>
      <c r="N258" s="13"/>
    </row>
    <row r="259" spans="9:14" s="7" customFormat="1">
      <c r="I259" s="8"/>
      <c r="N259" s="13"/>
    </row>
    <row r="260" spans="9:14" s="7" customFormat="1">
      <c r="I260" s="8"/>
      <c r="N260" s="13"/>
    </row>
    <row r="261" spans="9:14" s="7" customFormat="1">
      <c r="I261" s="8"/>
      <c r="N261" s="13"/>
    </row>
    <row r="262" spans="9:14" s="7" customFormat="1">
      <c r="I262" s="8"/>
      <c r="N262" s="13"/>
    </row>
    <row r="263" spans="9:14" s="7" customFormat="1">
      <c r="I263" s="8"/>
      <c r="N263" s="13"/>
    </row>
    <row r="264" spans="9:14" s="7" customFormat="1">
      <c r="I264" s="8"/>
      <c r="N264" s="13"/>
    </row>
    <row r="265" spans="9:14" s="7" customFormat="1">
      <c r="I265" s="8"/>
      <c r="N265" s="13"/>
    </row>
    <row r="266" spans="9:14" s="7" customFormat="1">
      <c r="I266" s="8"/>
      <c r="N266" s="13"/>
    </row>
    <row r="267" spans="9:14" s="7" customFormat="1">
      <c r="I267" s="8"/>
      <c r="N267" s="13"/>
    </row>
    <row r="268" spans="9:14" s="7" customFormat="1">
      <c r="I268" s="8"/>
      <c r="N268" s="13"/>
    </row>
    <row r="269" spans="9:14" s="7" customFormat="1">
      <c r="I269" s="8"/>
      <c r="N269" s="13"/>
    </row>
    <row r="270" spans="9:14" s="7" customFormat="1">
      <c r="I270" s="8"/>
      <c r="N270" s="13"/>
    </row>
    <row r="271" spans="9:14" s="7" customFormat="1">
      <c r="I271" s="8"/>
      <c r="N271" s="13"/>
    </row>
    <row r="272" spans="9:14" s="7" customFormat="1">
      <c r="I272" s="8"/>
      <c r="N272" s="13"/>
    </row>
    <row r="273" spans="9:14" s="7" customFormat="1">
      <c r="I273" s="8"/>
      <c r="N273" s="13"/>
    </row>
    <row r="274" spans="9:14" s="7" customFormat="1">
      <c r="I274" s="8"/>
      <c r="N274" s="13"/>
    </row>
    <row r="275" spans="9:14" s="7" customFormat="1">
      <c r="I275" s="8"/>
      <c r="N275" s="13"/>
    </row>
    <row r="276" spans="9:14" s="7" customFormat="1">
      <c r="I276" s="8"/>
      <c r="N276" s="13"/>
    </row>
    <row r="277" spans="9:14" s="7" customFormat="1">
      <c r="I277" s="8"/>
      <c r="N277" s="13"/>
    </row>
    <row r="278" spans="9:14" s="7" customFormat="1">
      <c r="I278" s="8"/>
      <c r="N278" s="13"/>
    </row>
    <row r="279" spans="9:14" s="7" customFormat="1">
      <c r="I279" s="8"/>
      <c r="N279" s="13"/>
    </row>
    <row r="280" spans="9:14" s="7" customFormat="1">
      <c r="I280" s="8"/>
      <c r="N280" s="13"/>
    </row>
    <row r="281" spans="9:14" s="7" customFormat="1">
      <c r="I281" s="8"/>
      <c r="N281" s="13"/>
    </row>
    <row r="282" spans="9:14" s="7" customFormat="1">
      <c r="I282" s="8"/>
      <c r="N282" s="13"/>
    </row>
    <row r="283" spans="9:14" s="7" customFormat="1">
      <c r="I283" s="8"/>
      <c r="N283" s="13"/>
    </row>
    <row r="284" spans="9:14" s="7" customFormat="1">
      <c r="I284" s="8"/>
      <c r="N284" s="13"/>
    </row>
    <row r="285" spans="9:14" s="7" customFormat="1">
      <c r="I285" s="8"/>
      <c r="N285" s="13"/>
    </row>
    <row r="286" spans="9:14" s="7" customFormat="1">
      <c r="I286" s="8"/>
      <c r="N286" s="13"/>
    </row>
    <row r="287" spans="9:14" s="7" customFormat="1">
      <c r="I287" s="8"/>
      <c r="N287" s="13"/>
    </row>
    <row r="288" spans="9:14" s="7" customFormat="1">
      <c r="I288" s="8"/>
      <c r="N288" s="13"/>
    </row>
    <row r="289" spans="9:14" s="7" customFormat="1">
      <c r="I289" s="8"/>
      <c r="N289" s="13"/>
    </row>
    <row r="290" spans="9:14" s="7" customFormat="1">
      <c r="I290" s="8"/>
      <c r="N290" s="13"/>
    </row>
    <row r="291" spans="9:14" s="7" customFormat="1">
      <c r="I291" s="8"/>
      <c r="N291" s="13"/>
    </row>
    <row r="292" spans="9:14" s="7" customFormat="1">
      <c r="I292" s="8"/>
      <c r="N292" s="13"/>
    </row>
    <row r="293" spans="9:14" s="7" customFormat="1">
      <c r="I293" s="8"/>
      <c r="N293" s="13"/>
    </row>
    <row r="294" spans="9:14" s="7" customFormat="1">
      <c r="I294" s="8"/>
      <c r="N294" s="13"/>
    </row>
    <row r="295" spans="9:14" s="7" customFormat="1">
      <c r="I295" s="8"/>
      <c r="N295" s="13"/>
    </row>
    <row r="296" spans="9:14" s="7" customFormat="1">
      <c r="I296" s="8"/>
      <c r="N296" s="13"/>
    </row>
    <row r="297" spans="9:14" s="7" customFormat="1">
      <c r="I297" s="8"/>
      <c r="N297" s="13"/>
    </row>
    <row r="298" spans="9:14" s="7" customFormat="1">
      <c r="I298" s="8"/>
      <c r="N298" s="13"/>
    </row>
    <row r="299" spans="9:14" s="7" customFormat="1">
      <c r="I299" s="8"/>
      <c r="N299" s="13"/>
    </row>
    <row r="300" spans="9:14" s="7" customFormat="1">
      <c r="I300" s="8"/>
      <c r="N300" s="13"/>
    </row>
    <row r="301" spans="9:14" s="7" customFormat="1">
      <c r="I301" s="8"/>
      <c r="N301" s="13"/>
    </row>
    <row r="302" spans="9:14" s="7" customFormat="1">
      <c r="I302" s="8"/>
      <c r="N302" s="13"/>
    </row>
    <row r="303" spans="9:14" s="7" customFormat="1">
      <c r="I303" s="8"/>
      <c r="N303" s="13"/>
    </row>
    <row r="304" spans="9:14" s="7" customFormat="1">
      <c r="I304" s="8"/>
      <c r="N304" s="13"/>
    </row>
    <row r="305" spans="9:14" s="7" customFormat="1">
      <c r="I305" s="8"/>
      <c r="N305" s="13"/>
    </row>
    <row r="306" spans="9:14" s="7" customFormat="1">
      <c r="I306" s="8"/>
      <c r="N306" s="13"/>
    </row>
    <row r="307" spans="9:14" s="7" customFormat="1">
      <c r="I307" s="8"/>
      <c r="N307" s="13"/>
    </row>
    <row r="308" spans="9:14" s="7" customFormat="1">
      <c r="I308" s="8"/>
      <c r="N308" s="13"/>
    </row>
    <row r="309" spans="9:14" s="7" customFormat="1">
      <c r="I309" s="8"/>
      <c r="N309" s="13"/>
    </row>
    <row r="310" spans="9:14" s="7" customFormat="1">
      <c r="I310" s="8"/>
      <c r="N310" s="13"/>
    </row>
    <row r="311" spans="9:14" s="7" customFormat="1">
      <c r="I311" s="8"/>
      <c r="N311" s="13"/>
    </row>
    <row r="312" spans="9:14" s="7" customFormat="1">
      <c r="I312" s="8"/>
      <c r="N312" s="13"/>
    </row>
    <row r="313" spans="9:14" s="7" customFormat="1">
      <c r="I313" s="8"/>
      <c r="N313" s="13"/>
    </row>
    <row r="314" spans="9:14" s="7" customFormat="1">
      <c r="I314" s="8"/>
      <c r="N314" s="13"/>
    </row>
    <row r="315" spans="9:14" s="7" customFormat="1">
      <c r="I315" s="8"/>
      <c r="N315" s="13"/>
    </row>
    <row r="316" spans="9:14" s="7" customFormat="1">
      <c r="I316" s="8"/>
      <c r="N316" s="13"/>
    </row>
    <row r="317" spans="9:14" s="7" customFormat="1">
      <c r="I317" s="8"/>
      <c r="N317" s="13"/>
    </row>
    <row r="318" spans="9:14" s="7" customFormat="1">
      <c r="I318" s="8"/>
      <c r="N318" s="13"/>
    </row>
    <row r="319" spans="9:14" s="7" customFormat="1">
      <c r="I319" s="8"/>
      <c r="N319" s="13"/>
    </row>
    <row r="320" spans="9:14" s="7" customFormat="1">
      <c r="I320" s="8"/>
      <c r="N320" s="13"/>
    </row>
    <row r="321" spans="9:14" s="7" customFormat="1">
      <c r="I321" s="8"/>
      <c r="N321" s="13"/>
    </row>
    <row r="322" spans="9:14" s="7" customFormat="1">
      <c r="I322" s="8"/>
      <c r="N322" s="13"/>
    </row>
    <row r="323" spans="9:14" s="7" customFormat="1">
      <c r="I323" s="8"/>
      <c r="N323" s="13"/>
    </row>
    <row r="324" spans="9:14" s="7" customFormat="1">
      <c r="I324" s="8"/>
      <c r="N324" s="13"/>
    </row>
    <row r="325" spans="9:14" s="7" customFormat="1">
      <c r="I325" s="8"/>
      <c r="N325" s="13"/>
    </row>
    <row r="326" spans="9:14" s="7" customFormat="1">
      <c r="I326" s="8"/>
      <c r="N326" s="13"/>
    </row>
    <row r="327" spans="9:14" s="7" customFormat="1">
      <c r="I327" s="8"/>
      <c r="N327" s="13"/>
    </row>
    <row r="328" spans="9:14" s="7" customFormat="1">
      <c r="I328" s="8"/>
      <c r="N328" s="13"/>
    </row>
    <row r="329" spans="9:14" s="7" customFormat="1">
      <c r="I329" s="8"/>
      <c r="N329" s="13"/>
    </row>
    <row r="330" spans="9:14" s="7" customFormat="1">
      <c r="I330" s="8"/>
      <c r="N330" s="13"/>
    </row>
    <row r="331" spans="9:14" s="7" customFormat="1">
      <c r="I331" s="8"/>
      <c r="N331" s="13"/>
    </row>
    <row r="332" spans="9:14" s="7" customFormat="1">
      <c r="I332" s="8"/>
      <c r="N332" s="13"/>
    </row>
    <row r="333" spans="9:14" s="7" customFormat="1">
      <c r="I333" s="8"/>
      <c r="N333" s="13"/>
    </row>
    <row r="334" spans="9:14" s="7" customFormat="1">
      <c r="I334" s="8"/>
      <c r="N334" s="13"/>
    </row>
    <row r="335" spans="9:14" s="7" customFormat="1">
      <c r="I335" s="8"/>
      <c r="N335" s="13"/>
    </row>
    <row r="336" spans="9:14" s="7" customFormat="1">
      <c r="I336" s="8"/>
      <c r="N336" s="13"/>
    </row>
    <row r="337" spans="9:14" s="7" customFormat="1">
      <c r="I337" s="8"/>
      <c r="N337" s="13"/>
    </row>
    <row r="338" spans="9:14" s="7" customFormat="1">
      <c r="I338" s="8"/>
      <c r="N338" s="13"/>
    </row>
    <row r="339" spans="9:14" s="7" customFormat="1">
      <c r="I339" s="8"/>
      <c r="N339" s="13"/>
    </row>
    <row r="340" spans="9:14" s="7" customFormat="1">
      <c r="I340" s="8"/>
      <c r="N340" s="13"/>
    </row>
    <row r="341" spans="9:14" s="7" customFormat="1">
      <c r="I341" s="8"/>
      <c r="N341" s="13"/>
    </row>
    <row r="342" spans="9:14" s="7" customFormat="1">
      <c r="I342" s="8"/>
      <c r="N342" s="13"/>
    </row>
    <row r="343" spans="9:14" s="7" customFormat="1">
      <c r="I343" s="8"/>
      <c r="N343" s="13"/>
    </row>
    <row r="344" spans="9:14" s="7" customFormat="1">
      <c r="I344" s="8"/>
      <c r="N344" s="13"/>
    </row>
    <row r="345" spans="9:14" s="7" customFormat="1">
      <c r="I345" s="8"/>
      <c r="N345" s="13"/>
    </row>
    <row r="346" spans="9:14" s="7" customFormat="1">
      <c r="I346" s="8"/>
      <c r="N346" s="13"/>
    </row>
    <row r="347" spans="9:14" s="7" customFormat="1">
      <c r="I347" s="8"/>
      <c r="N347" s="13"/>
    </row>
    <row r="348" spans="9:14" s="7" customFormat="1">
      <c r="I348" s="8"/>
      <c r="N348" s="13"/>
    </row>
    <row r="349" spans="9:14" s="7" customFormat="1">
      <c r="I349" s="8"/>
      <c r="N349" s="13"/>
    </row>
    <row r="350" spans="9:14" s="7" customFormat="1">
      <c r="I350" s="8"/>
      <c r="N350" s="13"/>
    </row>
    <row r="351" spans="9:14" s="7" customFormat="1">
      <c r="I351" s="8"/>
      <c r="N351" s="13"/>
    </row>
    <row r="352" spans="9:14" s="7" customFormat="1">
      <c r="I352" s="8"/>
      <c r="N352" s="13"/>
    </row>
    <row r="353" spans="9:14" s="7" customFormat="1">
      <c r="I353" s="8"/>
      <c r="N353" s="13"/>
    </row>
    <row r="354" spans="9:14" s="7" customFormat="1">
      <c r="I354" s="8"/>
      <c r="N354" s="13"/>
    </row>
    <row r="355" spans="9:14" s="7" customFormat="1">
      <c r="I355" s="8"/>
      <c r="N355" s="13"/>
    </row>
    <row r="356" spans="9:14" s="7" customFormat="1">
      <c r="I356" s="8"/>
      <c r="N356" s="13"/>
    </row>
    <row r="357" spans="9:14" s="7" customFormat="1">
      <c r="I357" s="8"/>
      <c r="N357" s="13"/>
    </row>
    <row r="358" spans="9:14" s="7" customFormat="1">
      <c r="I358" s="8"/>
      <c r="N358" s="13"/>
    </row>
    <row r="359" spans="9:14" s="7" customFormat="1">
      <c r="I359" s="8"/>
      <c r="N359" s="13"/>
    </row>
    <row r="360" spans="9:14" s="7" customFormat="1">
      <c r="I360" s="8"/>
      <c r="N360" s="13"/>
    </row>
    <row r="361" spans="9:14" s="7" customFormat="1">
      <c r="I361" s="8"/>
      <c r="N361" s="13"/>
    </row>
    <row r="362" spans="9:14" s="7" customFormat="1">
      <c r="I362" s="8"/>
      <c r="N362" s="13"/>
    </row>
    <row r="363" spans="9:14" s="7" customFormat="1">
      <c r="I363" s="8"/>
      <c r="N363" s="13"/>
    </row>
    <row r="364" spans="9:14" s="7" customFormat="1">
      <c r="I364" s="8"/>
      <c r="N364" s="13"/>
    </row>
    <row r="365" spans="9:14" s="7" customFormat="1">
      <c r="I365" s="8"/>
      <c r="N365" s="13"/>
    </row>
    <row r="366" spans="9:14" s="7" customFormat="1">
      <c r="I366" s="8"/>
      <c r="N366" s="13"/>
    </row>
    <row r="367" spans="9:14" s="7" customFormat="1">
      <c r="I367" s="8"/>
      <c r="N367" s="13"/>
    </row>
    <row r="368" spans="9:14" s="7" customFormat="1">
      <c r="I368" s="8"/>
      <c r="N368" s="13"/>
    </row>
    <row r="369" spans="9:14" s="7" customFormat="1">
      <c r="I369" s="8"/>
      <c r="N369" s="13"/>
    </row>
    <row r="370" spans="9:14" s="7" customFormat="1">
      <c r="I370" s="8"/>
      <c r="N370" s="13"/>
    </row>
    <row r="371" spans="9:14" s="7" customFormat="1">
      <c r="I371" s="8"/>
      <c r="N371" s="13"/>
    </row>
    <row r="372" spans="9:14" s="7" customFormat="1">
      <c r="I372" s="8"/>
      <c r="N372" s="13"/>
    </row>
    <row r="373" spans="9:14" s="7" customFormat="1">
      <c r="I373" s="8"/>
      <c r="N373" s="13"/>
    </row>
    <row r="374" spans="9:14" s="7" customFormat="1">
      <c r="I374" s="8"/>
      <c r="N374" s="13"/>
    </row>
    <row r="375" spans="9:14" s="7" customFormat="1">
      <c r="I375" s="8"/>
      <c r="N375" s="13"/>
    </row>
    <row r="376" spans="9:14" s="7" customFormat="1">
      <c r="I376" s="8"/>
      <c r="N376" s="13"/>
    </row>
    <row r="377" spans="9:14" s="7" customFormat="1">
      <c r="I377" s="8"/>
      <c r="N377" s="13"/>
    </row>
    <row r="378" spans="9:14" s="7" customFormat="1">
      <c r="I378" s="8"/>
      <c r="N378" s="13"/>
    </row>
    <row r="379" spans="9:14" s="7" customFormat="1">
      <c r="I379" s="8"/>
      <c r="N379" s="13"/>
    </row>
    <row r="380" spans="9:14" s="7" customFormat="1">
      <c r="I380" s="8"/>
      <c r="N380" s="13"/>
    </row>
    <row r="381" spans="9:14" s="7" customFormat="1">
      <c r="I381" s="8"/>
      <c r="N381" s="13"/>
    </row>
    <row r="382" spans="9:14" s="7" customFormat="1">
      <c r="I382" s="8"/>
      <c r="N382" s="13"/>
    </row>
    <row r="383" spans="9:14" s="7" customFormat="1">
      <c r="I383" s="8"/>
      <c r="N383" s="13"/>
    </row>
    <row r="384" spans="9:14" s="7" customFormat="1">
      <c r="I384" s="8"/>
      <c r="N384" s="13"/>
    </row>
    <row r="385" spans="9:14" s="7" customFormat="1">
      <c r="I385" s="8"/>
      <c r="N385" s="13"/>
    </row>
    <row r="386" spans="9:14" s="7" customFormat="1">
      <c r="I386" s="8"/>
      <c r="N386" s="13"/>
    </row>
    <row r="387" spans="9:14" s="7" customFormat="1">
      <c r="I387" s="8"/>
      <c r="N387" s="13"/>
    </row>
    <row r="388" spans="9:14" s="7" customFormat="1">
      <c r="I388" s="8"/>
      <c r="N388" s="13"/>
    </row>
    <row r="389" spans="9:14" s="7" customFormat="1">
      <c r="I389" s="8"/>
      <c r="N389" s="13"/>
    </row>
    <row r="390" spans="9:14" s="7" customFormat="1">
      <c r="I390" s="8"/>
      <c r="N390" s="13"/>
    </row>
    <row r="391" spans="9:14" s="7" customFormat="1">
      <c r="I391" s="8"/>
      <c r="N391" s="13"/>
    </row>
    <row r="392" spans="9:14" s="7" customFormat="1">
      <c r="I392" s="8"/>
      <c r="N392" s="13"/>
    </row>
    <row r="393" spans="9:14" s="7" customFormat="1">
      <c r="I393" s="8"/>
      <c r="N393" s="13"/>
    </row>
    <row r="394" spans="9:14" s="7" customFormat="1">
      <c r="I394" s="8"/>
      <c r="N394" s="13"/>
    </row>
    <row r="395" spans="9:14" s="7" customFormat="1">
      <c r="I395" s="8"/>
      <c r="N395" s="13"/>
    </row>
    <row r="396" spans="9:14" s="7" customFormat="1">
      <c r="I396" s="8"/>
      <c r="N396" s="13"/>
    </row>
    <row r="397" spans="9:14" s="7" customFormat="1">
      <c r="I397" s="8"/>
      <c r="N397" s="13"/>
    </row>
    <row r="398" spans="9:14" s="7" customFormat="1">
      <c r="I398" s="8"/>
      <c r="N398" s="13"/>
    </row>
    <row r="399" spans="9:14" s="7" customFormat="1">
      <c r="I399" s="8"/>
      <c r="N399" s="13"/>
    </row>
    <row r="400" spans="9:14" s="7" customFormat="1">
      <c r="I400" s="8"/>
      <c r="N400" s="13"/>
    </row>
    <row r="401" spans="9:14" s="7" customFormat="1">
      <c r="I401" s="8"/>
      <c r="N401" s="13"/>
    </row>
    <row r="402" spans="9:14" s="7" customFormat="1">
      <c r="I402" s="8"/>
      <c r="N402" s="13"/>
    </row>
    <row r="403" spans="9:14" s="7" customFormat="1">
      <c r="I403" s="8"/>
      <c r="N403" s="13"/>
    </row>
    <row r="404" spans="9:14" s="7" customFormat="1">
      <c r="I404" s="8"/>
      <c r="N404" s="13"/>
    </row>
    <row r="405" spans="9:14" s="7" customFormat="1">
      <c r="I405" s="8"/>
      <c r="N405" s="13"/>
    </row>
    <row r="406" spans="9:14" s="7" customFormat="1">
      <c r="I406" s="8"/>
      <c r="N406" s="13"/>
    </row>
    <row r="407" spans="9:14" s="7" customFormat="1">
      <c r="I407" s="8"/>
      <c r="N407" s="13"/>
    </row>
    <row r="408" spans="9:14" s="7" customFormat="1">
      <c r="I408" s="8"/>
      <c r="N408" s="13"/>
    </row>
    <row r="409" spans="9:14" s="7" customFormat="1">
      <c r="I409" s="8"/>
      <c r="N409" s="13"/>
    </row>
    <row r="410" spans="9:14" s="7" customFormat="1">
      <c r="I410" s="8"/>
      <c r="N410" s="13"/>
    </row>
    <row r="411" spans="9:14" s="7" customFormat="1">
      <c r="I411" s="8"/>
      <c r="N411" s="13"/>
    </row>
    <row r="412" spans="9:14" s="7" customFormat="1">
      <c r="I412" s="8"/>
      <c r="N412" s="13"/>
    </row>
    <row r="413" spans="9:14" s="7" customFormat="1">
      <c r="I413" s="8"/>
      <c r="N413" s="13"/>
    </row>
    <row r="414" spans="9:14" s="7" customFormat="1">
      <c r="I414" s="8"/>
      <c r="N414" s="13"/>
    </row>
    <row r="415" spans="9:14" s="7" customFormat="1">
      <c r="I415" s="8"/>
      <c r="N415" s="13"/>
    </row>
    <row r="416" spans="9:14" s="7" customFormat="1">
      <c r="I416" s="8"/>
      <c r="N416" s="13"/>
    </row>
    <row r="417" spans="9:14" s="7" customFormat="1">
      <c r="I417" s="8"/>
      <c r="N417" s="13"/>
    </row>
    <row r="418" spans="9:14" s="7" customFormat="1">
      <c r="I418" s="8"/>
      <c r="N418" s="13"/>
    </row>
    <row r="419" spans="9:14" s="7" customFormat="1">
      <c r="I419" s="8"/>
      <c r="N419" s="13"/>
    </row>
    <row r="420" spans="9:14" s="7" customFormat="1">
      <c r="I420" s="8"/>
      <c r="N420" s="13"/>
    </row>
    <row r="421" spans="9:14" s="7" customFormat="1">
      <c r="I421" s="8"/>
      <c r="N421" s="13"/>
    </row>
    <row r="422" spans="9:14" s="7" customFormat="1">
      <c r="I422" s="8"/>
      <c r="N422" s="13"/>
    </row>
    <row r="423" spans="9:14" s="7" customFormat="1">
      <c r="I423" s="8"/>
      <c r="N423" s="13"/>
    </row>
    <row r="424" spans="9:14" s="7" customFormat="1">
      <c r="I424" s="8"/>
      <c r="N424" s="13"/>
    </row>
    <row r="425" spans="9:14" s="7" customFormat="1">
      <c r="I425" s="8"/>
      <c r="N425" s="13"/>
    </row>
    <row r="426" spans="9:14" s="7" customFormat="1">
      <c r="I426" s="8"/>
      <c r="N426" s="13"/>
    </row>
    <row r="427" spans="9:14" s="7" customFormat="1">
      <c r="I427" s="8"/>
      <c r="N427" s="13"/>
    </row>
    <row r="428" spans="9:14" s="7" customFormat="1">
      <c r="I428" s="8"/>
      <c r="N428" s="13"/>
    </row>
    <row r="429" spans="9:14" s="7" customFormat="1">
      <c r="I429" s="8"/>
      <c r="N429" s="13"/>
    </row>
    <row r="430" spans="9:14" s="7" customFormat="1">
      <c r="I430" s="8"/>
      <c r="N430" s="13"/>
    </row>
    <row r="431" spans="9:14" s="7" customFormat="1">
      <c r="I431" s="8"/>
      <c r="N431" s="13"/>
    </row>
    <row r="432" spans="9:14" s="7" customFormat="1">
      <c r="I432" s="8"/>
      <c r="N432" s="13"/>
    </row>
    <row r="433" spans="9:14" s="7" customFormat="1">
      <c r="I433" s="8"/>
      <c r="N433" s="13"/>
    </row>
    <row r="434" spans="9:14" s="7" customFormat="1">
      <c r="I434" s="8"/>
      <c r="N434" s="13"/>
    </row>
    <row r="435" spans="9:14" s="7" customFormat="1">
      <c r="I435" s="8"/>
      <c r="N435" s="13"/>
    </row>
    <row r="436" spans="9:14" s="7" customFormat="1">
      <c r="I436" s="8"/>
      <c r="N436" s="13"/>
    </row>
    <row r="437" spans="9:14" s="7" customFormat="1">
      <c r="I437" s="8"/>
      <c r="N437" s="13"/>
    </row>
    <row r="438" spans="9:14" s="7" customFormat="1">
      <c r="I438" s="8"/>
      <c r="N438" s="13"/>
    </row>
    <row r="439" spans="9:14" s="7" customFormat="1">
      <c r="I439" s="8"/>
      <c r="N439" s="13"/>
    </row>
    <row r="440" spans="9:14" s="7" customFormat="1">
      <c r="I440" s="8"/>
      <c r="N440" s="13"/>
    </row>
    <row r="441" spans="9:14" s="7" customFormat="1">
      <c r="I441" s="8"/>
      <c r="N441" s="13"/>
    </row>
    <row r="442" spans="9:14" s="7" customFormat="1">
      <c r="I442" s="8"/>
      <c r="N442" s="13"/>
    </row>
    <row r="443" spans="9:14" s="7" customFormat="1">
      <c r="I443" s="8"/>
      <c r="N443" s="13"/>
    </row>
    <row r="444" spans="9:14" s="7" customFormat="1">
      <c r="I444" s="8"/>
      <c r="N444" s="13"/>
    </row>
    <row r="445" spans="9:14" s="7" customFormat="1">
      <c r="I445" s="8"/>
      <c r="N445" s="13"/>
    </row>
    <row r="446" spans="9:14" s="7" customFormat="1">
      <c r="I446" s="8"/>
      <c r="N446" s="13"/>
    </row>
    <row r="447" spans="9:14" s="7" customFormat="1">
      <c r="I447" s="8"/>
      <c r="N447" s="13"/>
    </row>
    <row r="448" spans="9:14" s="7" customFormat="1">
      <c r="I448" s="8"/>
      <c r="N448" s="13"/>
    </row>
    <row r="449" spans="9:14" s="7" customFormat="1">
      <c r="I449" s="8"/>
      <c r="N449" s="13"/>
    </row>
    <row r="450" spans="9:14" s="7" customFormat="1">
      <c r="I450" s="8"/>
      <c r="N450" s="13"/>
    </row>
    <row r="451" spans="9:14" s="7" customFormat="1">
      <c r="I451" s="8"/>
      <c r="N451" s="13"/>
    </row>
    <row r="452" spans="9:14" s="7" customFormat="1">
      <c r="I452" s="8"/>
      <c r="N452" s="13"/>
    </row>
    <row r="453" spans="9:14" s="7" customFormat="1">
      <c r="I453" s="8"/>
      <c r="N453" s="13"/>
    </row>
    <row r="454" spans="9:14" s="7" customFormat="1">
      <c r="I454" s="8"/>
      <c r="N454" s="13"/>
    </row>
    <row r="455" spans="9:14" s="7" customFormat="1">
      <c r="I455" s="8"/>
      <c r="N455" s="13"/>
    </row>
    <row r="456" spans="9:14" s="7" customFormat="1">
      <c r="I456" s="8"/>
      <c r="N456" s="13"/>
    </row>
    <row r="457" spans="9:14" s="7" customFormat="1">
      <c r="I457" s="8"/>
      <c r="N457" s="13"/>
    </row>
    <row r="458" spans="9:14" s="7" customFormat="1">
      <c r="I458" s="8"/>
      <c r="N458" s="13"/>
    </row>
    <row r="459" spans="9:14" s="7" customFormat="1">
      <c r="I459" s="8"/>
      <c r="N459" s="13"/>
    </row>
    <row r="460" spans="9:14" s="7" customFormat="1">
      <c r="I460" s="8"/>
      <c r="N460" s="13"/>
    </row>
    <row r="461" spans="9:14" s="7" customFormat="1">
      <c r="I461" s="8"/>
      <c r="N461" s="13"/>
    </row>
    <row r="462" spans="9:14" s="7" customFormat="1">
      <c r="I462" s="8"/>
      <c r="N462" s="13"/>
    </row>
    <row r="463" spans="9:14" s="7" customFormat="1">
      <c r="I463" s="8"/>
      <c r="N463" s="13"/>
    </row>
    <row r="464" spans="9:14" s="7" customFormat="1">
      <c r="I464" s="8"/>
      <c r="N464" s="13"/>
    </row>
    <row r="465" spans="9:14" s="7" customFormat="1">
      <c r="I465" s="8"/>
      <c r="N465" s="13"/>
    </row>
    <row r="466" spans="9:14" s="7" customFormat="1">
      <c r="I466" s="8"/>
      <c r="N466" s="13"/>
    </row>
    <row r="467" spans="9:14" s="7" customFormat="1">
      <c r="I467" s="8"/>
      <c r="N467" s="13"/>
    </row>
    <row r="468" spans="9:14" s="7" customFormat="1">
      <c r="I468" s="8"/>
      <c r="N468" s="13"/>
    </row>
    <row r="469" spans="9:14" s="7" customFormat="1">
      <c r="I469" s="8"/>
      <c r="N469" s="13"/>
    </row>
    <row r="470" spans="9:14" s="7" customFormat="1">
      <c r="I470" s="8"/>
      <c r="N470" s="13"/>
    </row>
    <row r="471" spans="9:14" s="7" customFormat="1">
      <c r="I471" s="8"/>
      <c r="N471" s="13"/>
    </row>
    <row r="472" spans="9:14" s="7" customFormat="1">
      <c r="I472" s="8"/>
      <c r="N472" s="13"/>
    </row>
    <row r="473" spans="9:14" s="7" customFormat="1">
      <c r="I473" s="8"/>
      <c r="N473" s="13"/>
    </row>
    <row r="474" spans="9:14" s="7" customFormat="1">
      <c r="I474" s="8"/>
      <c r="N474" s="13"/>
    </row>
    <row r="475" spans="9:14" s="7" customFormat="1">
      <c r="I475" s="8"/>
      <c r="N475" s="13"/>
    </row>
    <row r="476" spans="9:14" s="7" customFormat="1">
      <c r="I476" s="8"/>
      <c r="N476" s="13"/>
    </row>
    <row r="477" spans="9:14" s="7" customFormat="1">
      <c r="I477" s="8"/>
      <c r="N477" s="13"/>
    </row>
    <row r="478" spans="9:14" s="7" customFormat="1">
      <c r="I478" s="8"/>
      <c r="N478" s="13"/>
    </row>
    <row r="479" spans="9:14" s="7" customFormat="1">
      <c r="I479" s="8"/>
      <c r="N479" s="13"/>
    </row>
    <row r="480" spans="9:14" s="7" customFormat="1">
      <c r="I480" s="8"/>
      <c r="N480" s="13"/>
    </row>
    <row r="481" spans="9:14" s="7" customFormat="1">
      <c r="I481" s="8"/>
      <c r="N481" s="13"/>
    </row>
    <row r="482" spans="9:14" s="7" customFormat="1">
      <c r="I482" s="8"/>
      <c r="N482" s="13"/>
    </row>
    <row r="483" spans="9:14" s="7" customFormat="1">
      <c r="I483" s="8"/>
      <c r="N483" s="13"/>
    </row>
    <row r="484" spans="9:14" s="7" customFormat="1">
      <c r="I484" s="8"/>
      <c r="N484" s="13"/>
    </row>
    <row r="485" spans="9:14" s="7" customFormat="1">
      <c r="I485" s="8"/>
      <c r="N485" s="13"/>
    </row>
    <row r="486" spans="9:14" s="7" customFormat="1">
      <c r="I486" s="8"/>
      <c r="N486" s="13"/>
    </row>
    <row r="487" spans="9:14" s="7" customFormat="1">
      <c r="I487" s="8"/>
      <c r="N487" s="13"/>
    </row>
    <row r="488" spans="9:14" s="7" customFormat="1">
      <c r="I488" s="8"/>
      <c r="N488" s="13"/>
    </row>
    <row r="489" spans="9:14" s="7" customFormat="1">
      <c r="I489" s="8"/>
      <c r="N489" s="13"/>
    </row>
    <row r="490" spans="9:14" s="7" customFormat="1">
      <c r="I490" s="8"/>
      <c r="N490" s="13"/>
    </row>
    <row r="491" spans="9:14" s="7" customFormat="1">
      <c r="I491" s="8"/>
      <c r="N491" s="13"/>
    </row>
    <row r="492" spans="9:14" s="7" customFormat="1">
      <c r="I492" s="8"/>
      <c r="N492" s="13"/>
    </row>
    <row r="493" spans="9:14" s="7" customFormat="1">
      <c r="I493" s="8"/>
      <c r="N493" s="13"/>
    </row>
    <row r="494" spans="9:14" s="7" customFormat="1">
      <c r="I494" s="8"/>
      <c r="N494" s="13"/>
    </row>
    <row r="495" spans="9:14" s="7" customFormat="1">
      <c r="I495" s="8"/>
      <c r="N495" s="13"/>
    </row>
    <row r="496" spans="9:14" s="7" customFormat="1">
      <c r="I496" s="8"/>
      <c r="N496" s="13"/>
    </row>
    <row r="497" spans="1:15" s="7" customFormat="1">
      <c r="I497" s="8"/>
      <c r="N497" s="13"/>
    </row>
    <row r="498" spans="1:15" s="7" customFormat="1">
      <c r="I498" s="8"/>
      <c r="N498" s="13"/>
    </row>
    <row r="499" spans="1:15" s="7" customFormat="1">
      <c r="I499" s="8"/>
      <c r="N499" s="13"/>
    </row>
    <row r="500" spans="1:15" s="7" customFormat="1">
      <c r="I500" s="8"/>
      <c r="N500" s="13"/>
    </row>
    <row r="501" spans="1:15" s="7" customFormat="1">
      <c r="I501" s="8"/>
      <c r="N501" s="13"/>
    </row>
    <row r="502" spans="1:15" s="7" customFormat="1">
      <c r="I502" s="8"/>
      <c r="N502" s="13"/>
    </row>
    <row r="503" spans="1:15" s="7" customFormat="1">
      <c r="I503" s="8"/>
      <c r="N503" s="13"/>
    </row>
    <row r="504" spans="1:15" s="7" customFormat="1">
      <c r="I504" s="8"/>
      <c r="N504" s="13"/>
    </row>
    <row r="505" spans="1:15" s="7" customFormat="1">
      <c r="I505" s="8"/>
      <c r="N505" s="13"/>
    </row>
    <row r="506" spans="1:15" s="7" customFormat="1">
      <c r="I506" s="8"/>
      <c r="N506" s="13"/>
    </row>
    <row r="507" spans="1:15" s="7" customFormat="1">
      <c r="I507" s="8"/>
      <c r="N507" s="13"/>
    </row>
    <row r="508" spans="1:15" s="7" customFormat="1">
      <c r="A508" s="9"/>
      <c r="B508" s="9"/>
      <c r="C508" s="9"/>
      <c r="I508" s="8"/>
      <c r="N508" s="13"/>
    </row>
    <row r="509" spans="1:15" s="7" customFormat="1">
      <c r="A509" s="9"/>
      <c r="B509" s="9"/>
      <c r="C509" s="9"/>
      <c r="I509" s="8"/>
      <c r="N509" s="13"/>
    </row>
    <row r="510" spans="1:15">
      <c r="O510" s="7"/>
    </row>
  </sheetData>
  <sheetProtection password="BD40" sheet="1" objects="1" scenarios="1"/>
  <dataConsolidate/>
  <customSheetViews>
    <customSheetView guid="{398FF2B9-9C35-4944-9645-5E87FA7C56A5}" scale="75" showGridLines="0" outlineSymbols="0" zeroValues="0" hiddenRows="1" showRuler="0">
      <selection activeCell="C11" sqref="C11:D11"/>
      <rowBreaks count="1" manualBreakCount="1">
        <brk id="36" max="16383" man="1"/>
      </rowBreaks>
      <pageMargins left="0" right="0" top="0.47244094488188981" bottom="0.47244094488188981" header="0.19685039370078741" footer="0.19685039370078741"/>
      <printOptions horizontalCentered="1" verticalCentered="1"/>
      <pageSetup paperSize="9" orientation="landscape" r:id="rId1"/>
      <headerFooter alignWithMargins="0"/>
    </customSheetView>
    <customSheetView guid="{522045B1-E88F-4DC6-A25A-441F595A7309}" scale="80" showGridLines="0" outlineSymbols="0" zeroValues="0" printArea="1" showRuler="0" topLeftCell="A34">
      <selection activeCell="G18" sqref="G18"/>
      <rowBreaks count="1" manualBreakCount="1">
        <brk id="36" max="16383" man="1"/>
      </rowBreaks>
      <pageMargins left="0.31496062992125984" right="0.19685039370078741" top="0.47244094488188981" bottom="0.47244094488188981" header="0.19685039370078741" footer="0.19685039370078741"/>
      <printOptions horizontalCentered="1" verticalCentered="1"/>
      <pageSetup paperSize="9" orientation="landscape" r:id="rId2"/>
      <headerFooter alignWithMargins="0"/>
    </customSheetView>
  </customSheetViews>
  <mergeCells count="23">
    <mergeCell ref="G2:I2"/>
    <mergeCell ref="J6:K13"/>
    <mergeCell ref="B24:E24"/>
    <mergeCell ref="C11:D11"/>
    <mergeCell ref="C9:D9"/>
    <mergeCell ref="E2:F2"/>
    <mergeCell ref="C5:E5"/>
    <mergeCell ref="C8:D8"/>
    <mergeCell ref="C12:D12"/>
    <mergeCell ref="C7:D7"/>
    <mergeCell ref="C6:D6"/>
    <mergeCell ref="B3:D3"/>
    <mergeCell ref="B4:E4"/>
    <mergeCell ref="C10:D10"/>
    <mergeCell ref="G12:I15"/>
    <mergeCell ref="C13:D13"/>
    <mergeCell ref="B34:I34"/>
    <mergeCell ref="C16:D16"/>
    <mergeCell ref="B20:C20"/>
    <mergeCell ref="C14:D14"/>
    <mergeCell ref="C15:D15"/>
    <mergeCell ref="F29:G29"/>
    <mergeCell ref="F30:G30"/>
  </mergeCells>
  <phoneticPr fontId="0" type="noConversion"/>
  <conditionalFormatting sqref="I11">
    <cfRule type="cellIs" dxfId="2" priority="6" stopIfTrue="1" operator="between">
      <formula>1</formula>
      <formula>500000</formula>
    </cfRule>
  </conditionalFormatting>
  <conditionalFormatting sqref="J6">
    <cfRule type="cellIs" dxfId="1" priority="7" stopIfTrue="1" operator="equal">
      <formula>"""Use 'QLD 1st' only if the loan  is to purchase or construct an owner occupied residence with first mortgage Queensland security. In all other cases with Queensland security, use 'QLD Other'."""</formula>
    </cfRule>
  </conditionalFormatting>
  <conditionalFormatting sqref="B12">
    <cfRule type="cellIs" dxfId="0" priority="1" stopIfTrue="1" operator="equal">
      <formula>"LMI Premium already paid &gt;&gt;"</formula>
    </cfRule>
  </conditionalFormatting>
  <dataValidations xWindow="404" yWindow="270" count="10">
    <dataValidation allowBlank="1" showInputMessage="1" showErrorMessage="1" promptTitle="Loan Amount" prompt="Enter the total loan amount, but not including the LMI premium. If a top-up, enter the total new loan amount." sqref="B10" xr:uid="{00000000-0002-0000-0100-000000000000}"/>
    <dataValidation allowBlank="1" showInputMessage="1" showErrorMessage="1" promptTitle="Outstanding Uninsured" prompt="Enter the amount oif any prior charge or mortgage against this security that is not insured with Genworth." sqref="B11" xr:uid="{00000000-0002-0000-0100-000001000000}"/>
    <dataValidation allowBlank="1" showInputMessage="1" showErrorMessage="1" prompt="If the new loan is a top-up, enter the amount of the total LMI premium already paid on the existing loan/s. excluding any Rebate and stamp duty components." sqref="B12" xr:uid="{00000000-0002-0000-0100-000002000000}"/>
    <dataValidation allowBlank="1" showInputMessage="1" showErrorMessage="1" promptTitle="Predominant Purpose" prompt="Select the appropriate loan purpose. If a top-up, select the predominant overall purpose for the total loan amount. " sqref="B9" xr:uid="{00000000-0002-0000-0100-000003000000}"/>
    <dataValidation allowBlank="1" showInputMessage="1" showErrorMessage="1" promptTitle="First Home Buyer" prompt="All applicants must be first home buyers and eligible for the First Home Owner's Grant (FHOG) to qualify for the Genworth discounted LMI premium. Owner occupied loans only." sqref="B14" xr:uid="{00000000-0002-0000-0100-000004000000}"/>
    <dataValidation allowBlank="1" showInputMessage="1" showErrorMessage="1" promptTitle="Loan Term" prompt="The standard LMI premium covers loan terms up to 30 years. For loan terms from 30 to 40 years, an additional premium is charged." sqref="B15" xr:uid="{00000000-0002-0000-0100-000005000000}"/>
    <dataValidation allowBlank="1" showInputMessage="1" showErrorMessage="1" promptTitle="New Loan" prompt="Select top-up if you are providing additional funds for an existing Genworth-insured loan." sqref="B7" xr:uid="{00000000-0002-0000-0100-000006000000}"/>
    <dataValidation allowBlank="1" showInputMessage="1" showErrorMessage="1" promptTitle="LMI Product" prompt="Select the type of LMI product that matches the type of loan." sqref="B8" xr:uid="{00000000-0002-0000-0100-000007000000}"/>
    <dataValidation allowBlank="1" showInputMessage="1" showErrorMessage="1" promptTitle="Lender Reference" prompt="Record a number or alpha code that will enable you to identify this loan (optional)." sqref="B6" xr:uid="{00000000-0002-0000-0100-000008000000}"/>
    <dataValidation allowBlank="1" showInputMessage="1" showErrorMessage="1" promptTitle="Borrower Name" prompt="Record the borrower's name for ease of identification (optional)." sqref="B5" xr:uid="{00000000-0002-0000-0100-000009000000}"/>
  </dataValidations>
  <printOptions horizontalCentered="1" verticalCentered="1"/>
  <pageMargins left="0" right="0" top="0.47244094488188981" bottom="0.47244094488188981" header="0.19685039370078741" footer="0.19685039370078741"/>
  <pageSetup paperSize="9" orientation="landscape"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34" r:id="rId6" name="Drop Down 10">
              <controlPr locked="0" defaultSize="0" autoLine="0" autoPict="0">
                <anchor moveWithCells="1">
                  <from>
                    <xdr:col>2</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041" r:id="rId7" name="Drop Down 17">
              <controlPr locked="0" defaultSize="0" autoLine="0" autoPict="0">
                <anchor moveWithCells="1">
                  <from>
                    <xdr:col>6</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047" r:id="rId8" name="Drop Down 23">
              <controlPr locked="0" defaultSize="0" autoLine="0" autoPict="0">
                <anchor mov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1082" r:id="rId9" name="Drop Down 58">
              <controlPr locked="0" defaultSize="0" autoLine="0" autoPict="0">
                <anchor moveWithCells="1">
                  <from>
                    <xdr:col>6</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084" r:id="rId10" name="Button 60">
              <controlPr defaultSize="0" print="0" autoFill="0" autoPict="0" macro="[0]!ResetButton" altText="Reset">
                <anchor moveWithCells="1">
                  <from>
                    <xdr:col>4</xdr:col>
                    <xdr:colOff>106680</xdr:colOff>
                    <xdr:row>5</xdr:row>
                    <xdr:rowOff>106680</xdr:rowOff>
                  </from>
                  <to>
                    <xdr:col>5</xdr:col>
                    <xdr:colOff>236220</xdr:colOff>
                    <xdr:row>7</xdr:row>
                    <xdr:rowOff>144780</xdr:rowOff>
                  </to>
                </anchor>
              </controlPr>
            </control>
          </mc:Choice>
        </mc:AlternateContent>
        <mc:AlternateContent xmlns:mc="http://schemas.openxmlformats.org/markup-compatibility/2006">
          <mc:Choice Requires="x14">
            <control shapeId="1106" r:id="rId11" name="Drop Down 82">
              <controlPr locked="0" defaultSize="0" autoLine="0" autoPict="0">
                <anchor moveWithCells="1">
                  <from>
                    <xdr:col>2</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121" r:id="rId12" name="Drop Down 97">
              <controlPr locked="0" defaultSize="0" autoLine="0" autoPict="0">
                <anchor moveWithCells="1">
                  <from>
                    <xdr:col>2</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132" r:id="rId13" name="Drop Down 108">
              <controlPr locked="0" defaultSize="0" autoLine="0" autoPict="0">
                <anchor moveWithCells="1">
                  <from>
                    <xdr:col>2</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134" r:id="rId14" name="Drop Down 110">
              <controlPr locked="0" defaultSize="0" autoLine="0" autoPict="0">
                <anchor moveWithCells="1">
                  <from>
                    <xdr:col>2</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1201" r:id="rId15" name="Drop Down 177">
              <controlPr locked="0" defaultSize="0" autoLine="0" autoPict="0">
                <anchor moveWithCells="1">
                  <from>
                    <xdr:col>2</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204" r:id="rId16" name="Drop Down 180">
              <controlPr locked="0" defaultSize="0" autoLine="0" autoPict="0">
                <anchor mov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205" r:id="rId17" name="Drop Down 181">
              <controlPr locked="0" defaultSize="0" autoLine="0" autoPict="0">
                <anchor moveWithCells="1">
                  <from>
                    <xdr:col>6</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06" r:id="rId18" name="Drop Down 182">
              <controlPr locked="0" defaultSize="0" autoLine="0" autoPict="0">
                <anchor moveWithCells="1">
                  <from>
                    <xdr:col>7</xdr:col>
                    <xdr:colOff>0</xdr:colOff>
                    <xdr:row>5</xdr:row>
                    <xdr:rowOff>0</xdr:rowOff>
                  </from>
                  <to>
                    <xdr:col>7</xdr:col>
                    <xdr:colOff>1150620</xdr:colOff>
                    <xdr:row>6</xdr:row>
                    <xdr:rowOff>0</xdr:rowOff>
                  </to>
                </anchor>
              </controlPr>
            </control>
          </mc:Choice>
        </mc:AlternateContent>
        <mc:AlternateContent xmlns:mc="http://schemas.openxmlformats.org/markup-compatibility/2006">
          <mc:Choice Requires="x14">
            <control shapeId="1207" r:id="rId19" name="Drop Down 183">
              <controlPr locked="0" defaultSize="0" autoLine="0" autoPict="0">
                <anchor moveWithCells="1">
                  <from>
                    <xdr:col>7</xdr:col>
                    <xdr:colOff>0</xdr:colOff>
                    <xdr:row>6</xdr:row>
                    <xdr:rowOff>0</xdr:rowOff>
                  </from>
                  <to>
                    <xdr:col>7</xdr:col>
                    <xdr:colOff>1150620</xdr:colOff>
                    <xdr:row>7</xdr:row>
                    <xdr:rowOff>0</xdr:rowOff>
                  </to>
                </anchor>
              </controlPr>
            </control>
          </mc:Choice>
        </mc:AlternateContent>
        <mc:AlternateContent xmlns:mc="http://schemas.openxmlformats.org/markup-compatibility/2006">
          <mc:Choice Requires="x14">
            <control shapeId="1208" r:id="rId20" name="Drop Down 184">
              <controlPr locked="0" defaultSize="0" autoLine="0" autoPict="0">
                <anchor moveWithCells="1">
                  <from>
                    <xdr:col>7</xdr:col>
                    <xdr:colOff>0</xdr:colOff>
                    <xdr:row>7</xdr:row>
                    <xdr:rowOff>0</xdr:rowOff>
                  </from>
                  <to>
                    <xdr:col>7</xdr:col>
                    <xdr:colOff>1150620</xdr:colOff>
                    <xdr:row>8</xdr:row>
                    <xdr:rowOff>0</xdr:rowOff>
                  </to>
                </anchor>
              </controlPr>
            </control>
          </mc:Choice>
        </mc:AlternateContent>
        <mc:AlternateContent xmlns:mc="http://schemas.openxmlformats.org/markup-compatibility/2006">
          <mc:Choice Requires="x14">
            <control shapeId="1209" r:id="rId21" name="Drop Down 185">
              <controlPr locked="0" defaultSize="0" autoLine="0" autoPict="0">
                <anchor moveWithCells="1">
                  <from>
                    <xdr:col>7</xdr:col>
                    <xdr:colOff>0</xdr:colOff>
                    <xdr:row>8</xdr:row>
                    <xdr:rowOff>0</xdr:rowOff>
                  </from>
                  <to>
                    <xdr:col>7</xdr:col>
                    <xdr:colOff>1150620</xdr:colOff>
                    <xdr:row>9</xdr:row>
                    <xdr:rowOff>0</xdr:rowOff>
                  </to>
                </anchor>
              </controlPr>
            </control>
          </mc:Choice>
        </mc:AlternateContent>
        <mc:AlternateContent xmlns:mc="http://schemas.openxmlformats.org/markup-compatibility/2006">
          <mc:Choice Requires="x14">
            <control shapeId="1210" r:id="rId22" name="Drop Down 186">
              <controlPr locked="0" defaultSize="0" autoLine="0" autoPict="0">
                <anchor moveWithCells="1">
                  <from>
                    <xdr:col>7</xdr:col>
                    <xdr:colOff>0</xdr:colOff>
                    <xdr:row>9</xdr:row>
                    <xdr:rowOff>0</xdr:rowOff>
                  </from>
                  <to>
                    <xdr:col>7</xdr:col>
                    <xdr:colOff>1150620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Y118"/>
  <sheetViews>
    <sheetView topLeftCell="A31" zoomScale="70" zoomScaleNormal="70" workbookViewId="0">
      <selection activeCell="F73" sqref="F73:F82"/>
    </sheetView>
  </sheetViews>
  <sheetFormatPr defaultRowHeight="13.2"/>
  <cols>
    <col min="1" max="1" width="22.5546875" customWidth="1"/>
    <col min="2" max="2" width="2.88671875" customWidth="1"/>
    <col min="3" max="12" width="14.5546875" customWidth="1"/>
    <col min="14" max="14" width="22.5546875" customWidth="1"/>
    <col min="15" max="15" width="2.88671875" customWidth="1"/>
    <col min="16" max="25" width="14.5546875" customWidth="1"/>
  </cols>
  <sheetData>
    <row r="1" spans="1:25" ht="46.8">
      <c r="A1" s="132" t="s">
        <v>134</v>
      </c>
      <c r="B1" s="133"/>
      <c r="C1" s="134" t="s">
        <v>55</v>
      </c>
      <c r="D1" s="135" t="s">
        <v>56</v>
      </c>
      <c r="E1" s="135" t="s">
        <v>108</v>
      </c>
      <c r="F1" s="135" t="s">
        <v>109</v>
      </c>
      <c r="G1" s="135" t="s">
        <v>135</v>
      </c>
      <c r="H1" s="135" t="s">
        <v>136</v>
      </c>
      <c r="I1" s="136" t="s">
        <v>137</v>
      </c>
      <c r="J1" s="136" t="s">
        <v>138</v>
      </c>
      <c r="K1" s="136" t="s">
        <v>191</v>
      </c>
      <c r="L1" s="136" t="s">
        <v>192</v>
      </c>
      <c r="N1" s="132" t="s">
        <v>140</v>
      </c>
      <c r="O1" s="133"/>
      <c r="P1" s="134" t="s">
        <v>55</v>
      </c>
      <c r="Q1" s="135" t="s">
        <v>56</v>
      </c>
      <c r="R1" s="135" t="s">
        <v>108</v>
      </c>
      <c r="S1" s="135" t="s">
        <v>109</v>
      </c>
      <c r="T1" s="135" t="s">
        <v>135</v>
      </c>
      <c r="U1" s="135" t="s">
        <v>136</v>
      </c>
      <c r="V1" s="136" t="s">
        <v>137</v>
      </c>
      <c r="W1" s="136" t="s">
        <v>138</v>
      </c>
      <c r="X1" s="136" t="s">
        <v>191</v>
      </c>
      <c r="Y1" s="136" t="s">
        <v>192</v>
      </c>
    </row>
    <row r="2" spans="1:25" ht="8.25" customHeight="1">
      <c r="A2" s="137"/>
      <c r="B2" s="154"/>
      <c r="C2" s="158">
        <v>0</v>
      </c>
      <c r="D2" s="159">
        <v>300001</v>
      </c>
      <c r="E2" s="159">
        <v>500001</v>
      </c>
      <c r="F2" s="159">
        <v>600001</v>
      </c>
      <c r="G2" s="159">
        <v>750001</v>
      </c>
      <c r="H2" s="159">
        <v>1000001</v>
      </c>
      <c r="I2" s="159">
        <v>1500001</v>
      </c>
      <c r="J2" s="160">
        <v>2000001</v>
      </c>
      <c r="K2" s="160">
        <v>2500001</v>
      </c>
      <c r="L2" s="160">
        <v>3000001</v>
      </c>
      <c r="N2" s="137"/>
      <c r="O2" s="154"/>
      <c r="P2" s="158">
        <v>0</v>
      </c>
      <c r="Q2" s="159">
        <v>300001</v>
      </c>
      <c r="R2" s="159">
        <v>500001</v>
      </c>
      <c r="S2" s="159">
        <v>600001</v>
      </c>
      <c r="T2" s="159">
        <v>750001</v>
      </c>
      <c r="U2" s="159">
        <v>1000001</v>
      </c>
      <c r="V2" s="159">
        <v>1500001</v>
      </c>
      <c r="W2" s="160">
        <v>2000001</v>
      </c>
      <c r="X2" s="160">
        <v>2500001</v>
      </c>
      <c r="Y2" s="160">
        <v>3000001</v>
      </c>
    </row>
    <row r="3" spans="1:25" ht="13.8">
      <c r="A3" s="138" t="s">
        <v>35</v>
      </c>
      <c r="B3" s="155">
        <v>1.0000000000000001E-5</v>
      </c>
      <c r="C3" s="313">
        <v>0.38</v>
      </c>
      <c r="D3" s="314">
        <v>0.4</v>
      </c>
      <c r="E3" s="314">
        <v>0.43</v>
      </c>
      <c r="F3" s="314">
        <v>0.43</v>
      </c>
      <c r="G3" s="314">
        <v>0.43</v>
      </c>
      <c r="H3" s="314">
        <v>0.48</v>
      </c>
      <c r="I3" s="314">
        <v>0.48</v>
      </c>
      <c r="J3" s="314">
        <v>0.48</v>
      </c>
      <c r="K3" s="314">
        <v>0.48</v>
      </c>
      <c r="L3" s="314">
        <v>0.48</v>
      </c>
      <c r="N3" s="138" t="s">
        <v>35</v>
      </c>
      <c r="O3" s="155">
        <v>1.0000000000000001E-5</v>
      </c>
      <c r="P3" s="313">
        <v>0.36</v>
      </c>
      <c r="Q3" s="314">
        <v>0.38</v>
      </c>
      <c r="R3" s="314">
        <v>0.41</v>
      </c>
      <c r="S3" s="314">
        <v>0.41</v>
      </c>
      <c r="T3" s="314">
        <v>0.41</v>
      </c>
      <c r="U3" s="314">
        <v>0.45</v>
      </c>
      <c r="V3" s="314">
        <v>0.45</v>
      </c>
      <c r="W3" s="314">
        <v>0.45</v>
      </c>
      <c r="X3" s="314">
        <v>0.45</v>
      </c>
      <c r="Y3" s="314">
        <v>0.45</v>
      </c>
    </row>
    <row r="4" spans="1:25" ht="13.8">
      <c r="A4" s="139" t="s">
        <v>36</v>
      </c>
      <c r="B4" s="155">
        <v>0.60001000000000004</v>
      </c>
      <c r="C4" s="218">
        <v>0.4</v>
      </c>
      <c r="D4" s="219">
        <v>0.44</v>
      </c>
      <c r="E4" s="219">
        <v>0.55000000000000004</v>
      </c>
      <c r="F4" s="219">
        <v>0.55000000000000004</v>
      </c>
      <c r="G4" s="219">
        <v>0.55000000000000004</v>
      </c>
      <c r="H4" s="219">
        <v>0.61</v>
      </c>
      <c r="I4" s="219">
        <v>0.61</v>
      </c>
      <c r="J4" s="219">
        <v>0.61</v>
      </c>
      <c r="K4" s="219">
        <v>0.61</v>
      </c>
      <c r="L4" s="219">
        <v>0.61</v>
      </c>
      <c r="N4" s="139" t="s">
        <v>36</v>
      </c>
      <c r="O4" s="155">
        <v>0.60001000000000004</v>
      </c>
      <c r="P4" s="218">
        <v>0.38</v>
      </c>
      <c r="Q4" s="219">
        <v>0.41</v>
      </c>
      <c r="R4" s="219">
        <v>0.52</v>
      </c>
      <c r="S4" s="219">
        <v>0.52</v>
      </c>
      <c r="T4" s="219">
        <v>0.52</v>
      </c>
      <c r="U4" s="219">
        <v>0.57999999999999996</v>
      </c>
      <c r="V4" s="219">
        <v>0.57999999999999996</v>
      </c>
      <c r="W4" s="219">
        <v>0.57999999999999996</v>
      </c>
      <c r="X4" s="219">
        <v>0.57999999999999996</v>
      </c>
      <c r="Y4" s="219">
        <v>0.57999999999999996</v>
      </c>
    </row>
    <row r="5" spans="1:25" ht="13.8">
      <c r="A5" s="139" t="s">
        <v>37</v>
      </c>
      <c r="B5" s="155">
        <v>0.65000999999999998</v>
      </c>
      <c r="C5" s="218">
        <v>0.42</v>
      </c>
      <c r="D5" s="219">
        <v>0.46</v>
      </c>
      <c r="E5" s="219">
        <v>0.63</v>
      </c>
      <c r="F5" s="219">
        <v>0.63</v>
      </c>
      <c r="G5" s="219">
        <v>0.63</v>
      </c>
      <c r="H5" s="219">
        <v>0.69</v>
      </c>
      <c r="I5" s="219">
        <v>0.69</v>
      </c>
      <c r="J5" s="219">
        <v>0.69</v>
      </c>
      <c r="K5" s="219">
        <v>0.69</v>
      </c>
      <c r="L5" s="219">
        <v>0.69</v>
      </c>
      <c r="N5" s="139" t="s">
        <v>37</v>
      </c>
      <c r="O5" s="155">
        <v>0.65000999999999998</v>
      </c>
      <c r="P5" s="218">
        <v>0.4</v>
      </c>
      <c r="Q5" s="219">
        <v>0.43</v>
      </c>
      <c r="R5" s="219">
        <v>0.59</v>
      </c>
      <c r="S5" s="219">
        <v>0.59</v>
      </c>
      <c r="T5" s="219">
        <v>0.59</v>
      </c>
      <c r="U5" s="219">
        <v>0.66</v>
      </c>
      <c r="V5" s="219">
        <v>0.66</v>
      </c>
      <c r="W5" s="219">
        <v>0.66</v>
      </c>
      <c r="X5" s="219">
        <v>0.66</v>
      </c>
      <c r="Y5" s="219">
        <v>0.66</v>
      </c>
    </row>
    <row r="6" spans="1:25" ht="13.8">
      <c r="A6" s="139" t="s">
        <v>38</v>
      </c>
      <c r="B6" s="155">
        <v>0.70001000000000002</v>
      </c>
      <c r="C6" s="218">
        <v>0.44</v>
      </c>
      <c r="D6" s="219">
        <v>0.5</v>
      </c>
      <c r="E6" s="219">
        <v>0.85</v>
      </c>
      <c r="F6" s="219">
        <v>0.85</v>
      </c>
      <c r="G6" s="219">
        <v>0.85</v>
      </c>
      <c r="H6" s="219">
        <v>0.93</v>
      </c>
      <c r="I6" s="219">
        <v>0.93</v>
      </c>
      <c r="J6" s="219">
        <v>0.93</v>
      </c>
      <c r="K6" s="219">
        <v>0.93</v>
      </c>
      <c r="L6" s="219">
        <v>0.93</v>
      </c>
      <c r="N6" s="139" t="s">
        <v>38</v>
      </c>
      <c r="O6" s="155">
        <v>0.70001000000000002</v>
      </c>
      <c r="P6" s="218">
        <v>0.41</v>
      </c>
      <c r="Q6" s="219">
        <v>0.48</v>
      </c>
      <c r="R6" s="219">
        <v>0.8</v>
      </c>
      <c r="S6" s="219">
        <v>0.8</v>
      </c>
      <c r="T6" s="219">
        <v>0.8</v>
      </c>
      <c r="U6" s="219">
        <v>0.88</v>
      </c>
      <c r="V6" s="219">
        <v>0.88</v>
      </c>
      <c r="W6" s="219">
        <v>0.88</v>
      </c>
      <c r="X6" s="219">
        <v>0.88</v>
      </c>
      <c r="Y6" s="219">
        <v>0.88</v>
      </c>
    </row>
    <row r="7" spans="1:25" ht="13.8">
      <c r="A7" s="139" t="s">
        <v>39</v>
      </c>
      <c r="B7" s="155">
        <v>0.75000999999999995</v>
      </c>
      <c r="C7" s="218">
        <v>0.48</v>
      </c>
      <c r="D7" s="219">
        <v>0.55000000000000004</v>
      </c>
      <c r="E7" s="219">
        <v>0.91</v>
      </c>
      <c r="F7" s="219">
        <v>0.91</v>
      </c>
      <c r="G7" s="219">
        <v>0.91</v>
      </c>
      <c r="H7" s="219">
        <v>1.01</v>
      </c>
      <c r="I7" s="219">
        <v>1.01</v>
      </c>
      <c r="J7" s="219">
        <v>1.01</v>
      </c>
      <c r="K7" s="219">
        <v>1.01</v>
      </c>
      <c r="L7" s="219">
        <v>1.01</v>
      </c>
      <c r="N7" s="139" t="s">
        <v>39</v>
      </c>
      <c r="O7" s="155">
        <v>0.75000999999999995</v>
      </c>
      <c r="P7" s="218">
        <v>0.46</v>
      </c>
      <c r="Q7" s="219">
        <v>0.52</v>
      </c>
      <c r="R7" s="219">
        <v>0.86</v>
      </c>
      <c r="S7" s="219">
        <v>0.86</v>
      </c>
      <c r="T7" s="219">
        <v>0.86</v>
      </c>
      <c r="U7" s="219">
        <v>0.95</v>
      </c>
      <c r="V7" s="219">
        <v>0.95</v>
      </c>
      <c r="W7" s="219">
        <v>0.95</v>
      </c>
      <c r="X7" s="219">
        <v>0.95</v>
      </c>
      <c r="Y7" s="219">
        <v>0.95</v>
      </c>
    </row>
    <row r="8" spans="1:25" ht="13.8">
      <c r="A8" s="140" t="s">
        <v>40</v>
      </c>
      <c r="B8" s="155">
        <v>0.80001</v>
      </c>
      <c r="C8" s="212">
        <v>0.54</v>
      </c>
      <c r="D8" s="213">
        <v>0.63</v>
      </c>
      <c r="E8" s="213">
        <v>1</v>
      </c>
      <c r="F8" s="213">
        <v>1</v>
      </c>
      <c r="G8" s="213">
        <v>1</v>
      </c>
      <c r="H8" s="213">
        <v>1.1000000000000001</v>
      </c>
      <c r="I8" s="213">
        <v>1.1000000000000001</v>
      </c>
      <c r="J8" s="213">
        <v>1.1000000000000001</v>
      </c>
      <c r="K8" s="213">
        <v>1.1000000000000001</v>
      </c>
      <c r="L8" s="213">
        <v>1.1000000000000001</v>
      </c>
      <c r="N8" s="140" t="s">
        <v>40</v>
      </c>
      <c r="O8" s="155">
        <v>0.80001</v>
      </c>
      <c r="P8" s="212">
        <v>0.51</v>
      </c>
      <c r="Q8" s="213">
        <v>0.59</v>
      </c>
      <c r="R8" s="213">
        <v>0.95</v>
      </c>
      <c r="S8" s="213">
        <v>0.95</v>
      </c>
      <c r="T8" s="213">
        <v>0.95</v>
      </c>
      <c r="U8" s="213">
        <v>1.04</v>
      </c>
      <c r="V8" s="213">
        <v>1.04</v>
      </c>
      <c r="W8" s="213">
        <v>1.04</v>
      </c>
      <c r="X8" s="213">
        <v>1.04</v>
      </c>
      <c r="Y8" s="213">
        <v>1.04</v>
      </c>
    </row>
    <row r="9" spans="1:25" ht="13.8">
      <c r="A9" s="140" t="s">
        <v>41</v>
      </c>
      <c r="B9" s="155">
        <v>0.81001000000000001</v>
      </c>
      <c r="C9" s="212">
        <v>0.55000000000000004</v>
      </c>
      <c r="D9" s="213">
        <v>0.63</v>
      </c>
      <c r="E9" s="213">
        <v>1</v>
      </c>
      <c r="F9" s="213">
        <v>1</v>
      </c>
      <c r="G9" s="213">
        <v>1</v>
      </c>
      <c r="H9" s="213">
        <v>1.1000000000000001</v>
      </c>
      <c r="I9" s="213">
        <v>1.1000000000000001</v>
      </c>
      <c r="J9" s="213">
        <v>1.1000000000000001</v>
      </c>
      <c r="K9" s="213">
        <v>1.1000000000000001</v>
      </c>
      <c r="L9" s="213">
        <v>1.1000000000000001</v>
      </c>
      <c r="N9" s="140" t="s">
        <v>41</v>
      </c>
      <c r="O9" s="155">
        <v>0.81001000000000001</v>
      </c>
      <c r="P9" s="212">
        <v>0.52</v>
      </c>
      <c r="Q9" s="213">
        <v>0.59</v>
      </c>
      <c r="R9" s="213">
        <v>0.95</v>
      </c>
      <c r="S9" s="213">
        <v>0.95</v>
      </c>
      <c r="T9" s="213">
        <v>0.95</v>
      </c>
      <c r="U9" s="213">
        <v>1.04</v>
      </c>
      <c r="V9" s="213">
        <v>1.04</v>
      </c>
      <c r="W9" s="213">
        <v>1.04</v>
      </c>
      <c r="X9" s="213">
        <v>1.04</v>
      </c>
      <c r="Y9" s="213">
        <v>1.04</v>
      </c>
    </row>
    <row r="10" spans="1:25" ht="13.8">
      <c r="A10" s="140" t="s">
        <v>42</v>
      </c>
      <c r="B10" s="155">
        <v>0.82001000000000002</v>
      </c>
      <c r="C10" s="212">
        <v>0.77</v>
      </c>
      <c r="D10" s="213">
        <v>0.95</v>
      </c>
      <c r="E10" s="213">
        <v>1.17</v>
      </c>
      <c r="F10" s="213">
        <v>1.17</v>
      </c>
      <c r="G10" s="213">
        <v>1.17</v>
      </c>
      <c r="H10" s="213">
        <v>1.28</v>
      </c>
      <c r="I10" s="213">
        <v>1.28</v>
      </c>
      <c r="J10" s="213">
        <v>1.28</v>
      </c>
      <c r="K10" s="213">
        <v>1.28</v>
      </c>
      <c r="L10" s="213">
        <v>1.28</v>
      </c>
      <c r="N10" s="140" t="s">
        <v>42</v>
      </c>
      <c r="O10" s="155">
        <v>0.82001000000000002</v>
      </c>
      <c r="P10" s="212">
        <v>0.73</v>
      </c>
      <c r="Q10" s="213">
        <v>0.9</v>
      </c>
      <c r="R10" s="213">
        <v>1.1100000000000001</v>
      </c>
      <c r="S10" s="213">
        <v>1.1100000000000001</v>
      </c>
      <c r="T10" s="213">
        <v>1.1100000000000001</v>
      </c>
      <c r="U10" s="213">
        <v>1.22</v>
      </c>
      <c r="V10" s="213">
        <v>1.22</v>
      </c>
      <c r="W10" s="213">
        <v>1.22</v>
      </c>
      <c r="X10" s="213">
        <v>1.22</v>
      </c>
      <c r="Y10" s="213">
        <v>1.22</v>
      </c>
    </row>
    <row r="11" spans="1:25" ht="13.8">
      <c r="A11" s="140" t="s">
        <v>43</v>
      </c>
      <c r="B11" s="155">
        <v>0.83001000000000003</v>
      </c>
      <c r="C11" s="212">
        <v>0.77</v>
      </c>
      <c r="D11" s="213">
        <v>0.95</v>
      </c>
      <c r="E11" s="213">
        <v>1.24</v>
      </c>
      <c r="F11" s="213">
        <v>1.24</v>
      </c>
      <c r="G11" s="213">
        <v>1.24</v>
      </c>
      <c r="H11" s="213">
        <v>1.37</v>
      </c>
      <c r="I11" s="213">
        <v>1.37</v>
      </c>
      <c r="J11" s="213">
        <v>1.37</v>
      </c>
      <c r="K11" s="213">
        <v>1.37</v>
      </c>
      <c r="L11" s="213">
        <v>1.37</v>
      </c>
      <c r="N11" s="140" t="s">
        <v>43</v>
      </c>
      <c r="O11" s="155">
        <v>0.83001000000000003</v>
      </c>
      <c r="P11" s="212">
        <v>0.73</v>
      </c>
      <c r="Q11" s="213">
        <v>0.9</v>
      </c>
      <c r="R11" s="213">
        <v>1.18</v>
      </c>
      <c r="S11" s="213">
        <v>1.18</v>
      </c>
      <c r="T11" s="213">
        <v>1.18</v>
      </c>
      <c r="U11" s="213">
        <v>1.3</v>
      </c>
      <c r="V11" s="213">
        <v>1.3</v>
      </c>
      <c r="W11" s="213">
        <v>1.3</v>
      </c>
      <c r="X11" s="213">
        <v>1.3</v>
      </c>
      <c r="Y11" s="213">
        <v>1.3</v>
      </c>
    </row>
    <row r="12" spans="1:25" ht="13.8">
      <c r="A12" s="140" t="s">
        <v>44</v>
      </c>
      <c r="B12" s="155">
        <v>0.84001000000000003</v>
      </c>
      <c r="C12" s="212">
        <v>0.97</v>
      </c>
      <c r="D12" s="213">
        <v>1.25</v>
      </c>
      <c r="E12" s="213">
        <v>1.43</v>
      </c>
      <c r="F12" s="213">
        <v>1.43</v>
      </c>
      <c r="G12" s="213">
        <v>1.43</v>
      </c>
      <c r="H12" s="213">
        <v>1.58</v>
      </c>
      <c r="I12" s="213">
        <v>1.58</v>
      </c>
      <c r="J12" s="213">
        <v>1.58</v>
      </c>
      <c r="K12" s="213">
        <v>1.58</v>
      </c>
      <c r="L12" s="213">
        <v>1.58</v>
      </c>
      <c r="N12" s="140" t="s">
        <v>44</v>
      </c>
      <c r="O12" s="155">
        <v>0.84001000000000003</v>
      </c>
      <c r="P12" s="212">
        <v>0.92</v>
      </c>
      <c r="Q12" s="213">
        <v>1.19</v>
      </c>
      <c r="R12" s="213">
        <v>1.36</v>
      </c>
      <c r="S12" s="213">
        <v>1.36</v>
      </c>
      <c r="T12" s="213">
        <v>1.36</v>
      </c>
      <c r="U12" s="213">
        <v>1.49</v>
      </c>
      <c r="V12" s="213">
        <v>1.49</v>
      </c>
      <c r="W12" s="213">
        <v>1.49</v>
      </c>
      <c r="X12" s="213">
        <v>1.49</v>
      </c>
      <c r="Y12" s="213">
        <v>1.49</v>
      </c>
    </row>
    <row r="13" spans="1:25" ht="13.8">
      <c r="A13" s="140" t="s">
        <v>45</v>
      </c>
      <c r="B13" s="155">
        <v>0.85001000000000004</v>
      </c>
      <c r="C13" s="212">
        <v>1</v>
      </c>
      <c r="D13" s="213">
        <v>1.25</v>
      </c>
      <c r="E13" s="213">
        <v>1.57</v>
      </c>
      <c r="F13" s="213">
        <v>1.57</v>
      </c>
      <c r="G13" s="213">
        <v>1.57</v>
      </c>
      <c r="H13" s="213">
        <v>1.72</v>
      </c>
      <c r="I13" s="213">
        <v>1.72</v>
      </c>
      <c r="J13" s="213">
        <v>1.72</v>
      </c>
      <c r="K13" s="213">
        <v>1.72</v>
      </c>
      <c r="L13" s="213">
        <v>1.72</v>
      </c>
      <c r="N13" s="140" t="s">
        <v>45</v>
      </c>
      <c r="O13" s="155">
        <v>0.85001000000000004</v>
      </c>
      <c r="P13" s="212">
        <v>0.95</v>
      </c>
      <c r="Q13" s="213">
        <v>1.19</v>
      </c>
      <c r="R13" s="213">
        <v>1.49</v>
      </c>
      <c r="S13" s="213">
        <v>1.49</v>
      </c>
      <c r="T13" s="213">
        <v>1.49</v>
      </c>
      <c r="U13" s="213">
        <v>1.63</v>
      </c>
      <c r="V13" s="213">
        <v>1.63</v>
      </c>
      <c r="W13" s="213">
        <v>1.63</v>
      </c>
      <c r="X13" s="213">
        <v>1.63</v>
      </c>
      <c r="Y13" s="213">
        <v>1.63</v>
      </c>
    </row>
    <row r="14" spans="1:25" ht="13.8">
      <c r="A14" s="140" t="s">
        <v>46</v>
      </c>
      <c r="B14" s="155">
        <v>0.86001000000000005</v>
      </c>
      <c r="C14" s="212">
        <v>1.18</v>
      </c>
      <c r="D14" s="213">
        <v>1.43</v>
      </c>
      <c r="E14" s="213">
        <v>1.74</v>
      </c>
      <c r="F14" s="213">
        <v>1.74</v>
      </c>
      <c r="G14" s="213">
        <v>1.74</v>
      </c>
      <c r="H14" s="213">
        <v>1.91</v>
      </c>
      <c r="I14" s="213">
        <v>1.91</v>
      </c>
      <c r="J14" s="213">
        <v>1.91</v>
      </c>
      <c r="K14" s="213">
        <v>1.91</v>
      </c>
      <c r="L14" s="213">
        <v>1.91</v>
      </c>
      <c r="N14" s="140" t="s">
        <v>46</v>
      </c>
      <c r="O14" s="155">
        <v>0.86001000000000005</v>
      </c>
      <c r="P14" s="212">
        <v>1.1200000000000001</v>
      </c>
      <c r="Q14" s="213">
        <v>1.35</v>
      </c>
      <c r="R14" s="213">
        <v>1.65</v>
      </c>
      <c r="S14" s="213">
        <v>1.65</v>
      </c>
      <c r="T14" s="213">
        <v>1.65</v>
      </c>
      <c r="U14" s="213">
        <v>1.81</v>
      </c>
      <c r="V14" s="213">
        <v>1.81</v>
      </c>
      <c r="W14" s="213">
        <v>1.81</v>
      </c>
      <c r="X14" s="213">
        <v>1.81</v>
      </c>
      <c r="Y14" s="213">
        <v>1.81</v>
      </c>
    </row>
    <row r="15" spans="1:25" ht="13.8">
      <c r="A15" s="140" t="s">
        <v>47</v>
      </c>
      <c r="B15" s="155">
        <v>0.87000999999999995</v>
      </c>
      <c r="C15" s="212">
        <v>1.18</v>
      </c>
      <c r="D15" s="213">
        <v>1.43</v>
      </c>
      <c r="E15" s="213">
        <v>1.83</v>
      </c>
      <c r="F15" s="213">
        <v>1.83</v>
      </c>
      <c r="G15" s="213">
        <v>1.83</v>
      </c>
      <c r="H15" s="213">
        <v>2.02</v>
      </c>
      <c r="I15" s="213">
        <v>2.02</v>
      </c>
      <c r="J15" s="213">
        <v>2.02</v>
      </c>
      <c r="K15" s="213">
        <v>2.02</v>
      </c>
      <c r="L15" s="213">
        <v>2.02</v>
      </c>
      <c r="N15" s="140" t="s">
        <v>47</v>
      </c>
      <c r="O15" s="155">
        <v>0.87000999999999995</v>
      </c>
      <c r="P15" s="212">
        <v>1.1200000000000001</v>
      </c>
      <c r="Q15" s="213">
        <v>1.35</v>
      </c>
      <c r="R15" s="213">
        <v>1.74</v>
      </c>
      <c r="S15" s="213">
        <v>1.74</v>
      </c>
      <c r="T15" s="213">
        <v>1.74</v>
      </c>
      <c r="U15" s="213">
        <v>1.92</v>
      </c>
      <c r="V15" s="213">
        <v>1.92</v>
      </c>
      <c r="W15" s="213">
        <v>1.92</v>
      </c>
      <c r="X15" s="213">
        <v>1.92</v>
      </c>
      <c r="Y15" s="213">
        <v>1.92</v>
      </c>
    </row>
    <row r="16" spans="1:25" ht="13.8">
      <c r="A16" s="140" t="s">
        <v>48</v>
      </c>
      <c r="B16" s="155">
        <v>0.88000999999999996</v>
      </c>
      <c r="C16" s="212">
        <v>1.53</v>
      </c>
      <c r="D16" s="213">
        <v>2</v>
      </c>
      <c r="E16" s="213">
        <v>2.35</v>
      </c>
      <c r="F16" s="213">
        <v>2.35</v>
      </c>
      <c r="G16" s="213">
        <v>2.35</v>
      </c>
      <c r="H16" s="213">
        <v>2.57</v>
      </c>
      <c r="I16" s="213">
        <v>2.57</v>
      </c>
      <c r="J16" s="213">
        <v>2.57</v>
      </c>
      <c r="K16" s="213">
        <v>2.57</v>
      </c>
      <c r="L16" s="213">
        <v>2.57</v>
      </c>
      <c r="N16" s="140" t="s">
        <v>48</v>
      </c>
      <c r="O16" s="155">
        <v>0.88000999999999996</v>
      </c>
      <c r="P16" s="212">
        <v>1.45</v>
      </c>
      <c r="Q16" s="213">
        <v>1.9</v>
      </c>
      <c r="R16" s="213">
        <v>2.2200000000000002</v>
      </c>
      <c r="S16" s="213">
        <v>2.2200000000000002</v>
      </c>
      <c r="T16" s="213">
        <v>2.2200000000000002</v>
      </c>
      <c r="U16" s="213">
        <v>2.44</v>
      </c>
      <c r="V16" s="213">
        <v>2.44</v>
      </c>
      <c r="W16" s="213">
        <v>2.44</v>
      </c>
      <c r="X16" s="213">
        <v>2.44</v>
      </c>
      <c r="Y16" s="213">
        <v>2.44</v>
      </c>
    </row>
    <row r="17" spans="1:25" ht="13.8">
      <c r="A17" s="140" t="s">
        <v>49</v>
      </c>
      <c r="B17" s="155">
        <v>0.89000999999999997</v>
      </c>
      <c r="C17" s="212">
        <v>1.72</v>
      </c>
      <c r="D17" s="213">
        <v>2.19</v>
      </c>
      <c r="E17" s="213">
        <v>2.78</v>
      </c>
      <c r="F17" s="213">
        <v>2.78</v>
      </c>
      <c r="G17" s="213">
        <v>2.78</v>
      </c>
      <c r="H17" s="213">
        <v>3.06</v>
      </c>
      <c r="I17" s="213">
        <v>3.06</v>
      </c>
      <c r="J17" s="213">
        <v>3.06</v>
      </c>
      <c r="K17" s="213">
        <v>3.06</v>
      </c>
      <c r="L17" s="213">
        <v>3.06</v>
      </c>
      <c r="N17" s="140" t="s">
        <v>49</v>
      </c>
      <c r="O17" s="155">
        <v>0.89000999999999997</v>
      </c>
      <c r="P17" s="212">
        <v>1.63</v>
      </c>
      <c r="Q17" s="213">
        <v>2.0699999999999998</v>
      </c>
      <c r="R17" s="213">
        <v>2.64</v>
      </c>
      <c r="S17" s="213">
        <v>2.64</v>
      </c>
      <c r="T17" s="213">
        <v>2.64</v>
      </c>
      <c r="U17" s="213">
        <v>2.9</v>
      </c>
      <c r="V17" s="213">
        <v>2.9</v>
      </c>
      <c r="W17" s="213">
        <v>2.9</v>
      </c>
      <c r="X17" s="213">
        <v>2.9</v>
      </c>
      <c r="Y17" s="213">
        <v>2.9</v>
      </c>
    </row>
    <row r="18" spans="1:25" ht="13.8">
      <c r="A18" s="140" t="s">
        <v>50</v>
      </c>
      <c r="B18" s="155">
        <v>0.90000999999999998</v>
      </c>
      <c r="C18" s="212">
        <v>2.2000000000000002</v>
      </c>
      <c r="D18" s="213">
        <v>2.84</v>
      </c>
      <c r="E18" s="213">
        <v>3.84</v>
      </c>
      <c r="F18" s="213">
        <v>3.84</v>
      </c>
      <c r="G18" s="213">
        <v>3.84</v>
      </c>
      <c r="H18" s="213">
        <v>4.22</v>
      </c>
      <c r="I18" s="213">
        <v>4.22</v>
      </c>
      <c r="J18" s="213">
        <v>4.22</v>
      </c>
      <c r="K18" s="213">
        <v>4.22</v>
      </c>
      <c r="L18" s="213">
        <v>4.22</v>
      </c>
      <c r="N18" s="140" t="s">
        <v>50</v>
      </c>
      <c r="O18" s="155">
        <v>0.90000999999999998</v>
      </c>
      <c r="P18" s="212">
        <v>2.09</v>
      </c>
      <c r="Q18" s="213">
        <v>2.69</v>
      </c>
      <c r="R18" s="213">
        <v>3.64</v>
      </c>
      <c r="S18" s="213">
        <v>3.64</v>
      </c>
      <c r="T18" s="213">
        <v>3.64</v>
      </c>
      <c r="U18" s="213">
        <v>4</v>
      </c>
      <c r="V18" s="213">
        <v>4</v>
      </c>
      <c r="W18" s="213">
        <v>4</v>
      </c>
      <c r="X18" s="213">
        <v>4</v>
      </c>
      <c r="Y18" s="213">
        <v>4</v>
      </c>
    </row>
    <row r="19" spans="1:25" ht="13.8">
      <c r="A19" s="140" t="s">
        <v>51</v>
      </c>
      <c r="B19" s="155">
        <v>0.91000999999999999</v>
      </c>
      <c r="C19" s="212">
        <v>2.2000000000000002</v>
      </c>
      <c r="D19" s="213">
        <v>2.84</v>
      </c>
      <c r="E19" s="213">
        <v>3.99</v>
      </c>
      <c r="F19" s="213">
        <v>3.99</v>
      </c>
      <c r="G19" s="213">
        <v>3.99</v>
      </c>
      <c r="H19" s="213">
        <v>4.3899999999999997</v>
      </c>
      <c r="I19" s="213">
        <v>4.3899999999999997</v>
      </c>
      <c r="J19" s="213">
        <v>4.3899999999999997</v>
      </c>
      <c r="K19" s="213">
        <v>4.3899999999999997</v>
      </c>
      <c r="L19" s="213">
        <v>4.3899999999999997</v>
      </c>
      <c r="N19" s="140" t="s">
        <v>51</v>
      </c>
      <c r="O19" s="155">
        <v>0.91000999999999999</v>
      </c>
      <c r="P19" s="212">
        <v>2.09</v>
      </c>
      <c r="Q19" s="213">
        <v>2.69</v>
      </c>
      <c r="R19" s="213">
        <v>3.78</v>
      </c>
      <c r="S19" s="213">
        <v>3.78</v>
      </c>
      <c r="T19" s="213">
        <v>3.78</v>
      </c>
      <c r="U19" s="213">
        <v>4.16</v>
      </c>
      <c r="V19" s="213">
        <v>4.16</v>
      </c>
      <c r="W19" s="213">
        <v>4.16</v>
      </c>
      <c r="X19" s="213">
        <v>4.16</v>
      </c>
      <c r="Y19" s="213">
        <v>4.16</v>
      </c>
    </row>
    <row r="20" spans="1:25" ht="13.8">
      <c r="A20" s="140" t="s">
        <v>52</v>
      </c>
      <c r="B20" s="155">
        <v>0.92000999999999999</v>
      </c>
      <c r="C20" s="212">
        <v>2.54</v>
      </c>
      <c r="D20" s="213">
        <v>3.21</v>
      </c>
      <c r="E20" s="213">
        <v>4.1399999999999997</v>
      </c>
      <c r="F20" s="213">
        <v>4.1399999999999997</v>
      </c>
      <c r="G20" s="213">
        <v>4.1399999999999997</v>
      </c>
      <c r="H20" s="213">
        <v>4.5599999999999996</v>
      </c>
      <c r="I20" s="213">
        <v>4.5599999999999996</v>
      </c>
      <c r="J20" s="213">
        <v>4.5599999999999996</v>
      </c>
      <c r="K20" s="213">
        <v>4.5599999999999996</v>
      </c>
      <c r="L20" s="213">
        <v>4.5599999999999996</v>
      </c>
      <c r="N20" s="140" t="s">
        <v>52</v>
      </c>
      <c r="O20" s="155">
        <v>0.92000999999999999</v>
      </c>
      <c r="P20" s="212">
        <v>2.4</v>
      </c>
      <c r="Q20" s="213">
        <v>3.04</v>
      </c>
      <c r="R20" s="213">
        <v>3.92</v>
      </c>
      <c r="S20" s="213">
        <v>3.92</v>
      </c>
      <c r="T20" s="213">
        <v>3.92</v>
      </c>
      <c r="U20" s="213">
        <v>4.32</v>
      </c>
      <c r="V20" s="213">
        <v>4.32</v>
      </c>
      <c r="W20" s="213">
        <v>4.32</v>
      </c>
      <c r="X20" s="213">
        <v>4.32</v>
      </c>
      <c r="Y20" s="213">
        <v>4.32</v>
      </c>
    </row>
    <row r="21" spans="1:25" ht="13.8">
      <c r="A21" s="140" t="s">
        <v>53</v>
      </c>
      <c r="B21" s="155">
        <v>0.93001</v>
      </c>
      <c r="C21" s="214">
        <v>2.54</v>
      </c>
      <c r="D21" s="215">
        <v>3.21</v>
      </c>
      <c r="E21" s="215">
        <v>4.53</v>
      </c>
      <c r="F21" s="215">
        <v>4.53</v>
      </c>
      <c r="G21" s="215">
        <v>4.53</v>
      </c>
      <c r="H21" s="215">
        <v>4.99</v>
      </c>
      <c r="I21" s="215">
        <v>4.99</v>
      </c>
      <c r="J21" s="215">
        <v>4.99</v>
      </c>
      <c r="K21" s="215">
        <v>4.99</v>
      </c>
      <c r="L21" s="215">
        <v>4.99</v>
      </c>
      <c r="N21" s="140" t="s">
        <v>53</v>
      </c>
      <c r="O21" s="155">
        <v>0.93001</v>
      </c>
      <c r="P21" s="214">
        <v>2.4</v>
      </c>
      <c r="Q21" s="215">
        <v>3.04</v>
      </c>
      <c r="R21" s="215">
        <v>4.29</v>
      </c>
      <c r="S21" s="215">
        <v>4.29</v>
      </c>
      <c r="T21" s="215">
        <v>4.29</v>
      </c>
      <c r="U21" s="215">
        <v>4.7300000000000004</v>
      </c>
      <c r="V21" s="215">
        <v>4.7300000000000004</v>
      </c>
      <c r="W21" s="215">
        <v>4.7300000000000004</v>
      </c>
      <c r="X21" s="215">
        <v>4.7300000000000004</v>
      </c>
      <c r="Y21" s="215">
        <v>4.7300000000000004</v>
      </c>
    </row>
    <row r="22" spans="1:25" ht="13.8">
      <c r="A22" s="140" t="s">
        <v>54</v>
      </c>
      <c r="B22" s="155">
        <v>0.94001000000000001</v>
      </c>
      <c r="C22" s="214">
        <v>2.82</v>
      </c>
      <c r="D22" s="215">
        <v>3.54</v>
      </c>
      <c r="E22" s="215">
        <v>4.76</v>
      </c>
      <c r="F22" s="215">
        <v>4.76</v>
      </c>
      <c r="G22" s="215">
        <v>4.76</v>
      </c>
      <c r="H22" s="215">
        <v>5.23</v>
      </c>
      <c r="I22" s="215">
        <v>5.23</v>
      </c>
      <c r="J22" s="215">
        <v>5.23</v>
      </c>
      <c r="K22" s="215">
        <v>5.23</v>
      </c>
      <c r="L22" s="215">
        <v>5.23</v>
      </c>
      <c r="N22" s="140" t="s">
        <v>54</v>
      </c>
      <c r="O22" s="155">
        <v>0.94001000000000001</v>
      </c>
      <c r="P22" s="214">
        <v>2.67</v>
      </c>
      <c r="Q22" s="215">
        <v>3.36</v>
      </c>
      <c r="R22" s="215">
        <v>4.51</v>
      </c>
      <c r="S22" s="215">
        <v>4.51</v>
      </c>
      <c r="T22" s="215">
        <v>4.51</v>
      </c>
      <c r="U22" s="215">
        <v>4.96</v>
      </c>
      <c r="V22" s="215">
        <v>4.96</v>
      </c>
      <c r="W22" s="215">
        <v>4.96</v>
      </c>
      <c r="X22" s="215">
        <v>4.96</v>
      </c>
      <c r="Y22" s="215">
        <v>4.96</v>
      </c>
    </row>
    <row r="23" spans="1:25" ht="13.8">
      <c r="A23" s="140" t="s">
        <v>57</v>
      </c>
      <c r="B23" s="155">
        <v>0.95001000000000002</v>
      </c>
      <c r="C23" s="142" t="s">
        <v>10</v>
      </c>
      <c r="D23" s="143" t="s">
        <v>10</v>
      </c>
      <c r="E23" s="143" t="s">
        <v>10</v>
      </c>
      <c r="F23" s="143" t="s">
        <v>10</v>
      </c>
      <c r="G23" s="143" t="s">
        <v>10</v>
      </c>
      <c r="H23" s="143" t="s">
        <v>10</v>
      </c>
      <c r="I23" s="143" t="s">
        <v>10</v>
      </c>
      <c r="J23" s="144" t="s">
        <v>10</v>
      </c>
      <c r="K23" s="144" t="s">
        <v>10</v>
      </c>
      <c r="L23" s="144" t="s">
        <v>10</v>
      </c>
      <c r="N23" s="140" t="s">
        <v>57</v>
      </c>
      <c r="O23" s="155">
        <v>0.95001000000000002</v>
      </c>
      <c r="P23" s="142" t="s">
        <v>10</v>
      </c>
      <c r="Q23" s="143" t="s">
        <v>10</v>
      </c>
      <c r="R23" s="143" t="s">
        <v>10</v>
      </c>
      <c r="S23" s="143" t="s">
        <v>10</v>
      </c>
      <c r="T23" s="143" t="s">
        <v>10</v>
      </c>
      <c r="U23" s="143" t="s">
        <v>10</v>
      </c>
      <c r="V23" s="143" t="s">
        <v>10</v>
      </c>
      <c r="W23" s="144" t="s">
        <v>10</v>
      </c>
      <c r="X23" s="144" t="s">
        <v>10</v>
      </c>
      <c r="Y23" s="144" t="s">
        <v>10</v>
      </c>
    </row>
    <row r="24" spans="1:25" ht="13.8">
      <c r="A24" s="140" t="s">
        <v>58</v>
      </c>
      <c r="B24" s="155">
        <v>0.96001000000000003</v>
      </c>
      <c r="C24" s="142" t="s">
        <v>10</v>
      </c>
      <c r="D24" s="143" t="s">
        <v>10</v>
      </c>
      <c r="E24" s="143" t="s">
        <v>10</v>
      </c>
      <c r="F24" s="143" t="s">
        <v>10</v>
      </c>
      <c r="G24" s="143" t="s">
        <v>10</v>
      </c>
      <c r="H24" s="143" t="s">
        <v>10</v>
      </c>
      <c r="I24" s="143" t="s">
        <v>10</v>
      </c>
      <c r="J24" s="144" t="s">
        <v>10</v>
      </c>
      <c r="K24" s="144" t="s">
        <v>10</v>
      </c>
      <c r="L24" s="144" t="s">
        <v>10</v>
      </c>
      <c r="N24" s="140" t="s">
        <v>58</v>
      </c>
      <c r="O24" s="155">
        <v>0.96001000000000003</v>
      </c>
      <c r="P24" s="142" t="s">
        <v>10</v>
      </c>
      <c r="Q24" s="143" t="s">
        <v>10</v>
      </c>
      <c r="R24" s="143" t="s">
        <v>10</v>
      </c>
      <c r="S24" s="143" t="s">
        <v>10</v>
      </c>
      <c r="T24" s="143" t="s">
        <v>10</v>
      </c>
      <c r="U24" s="143" t="s">
        <v>10</v>
      </c>
      <c r="V24" s="143" t="s">
        <v>10</v>
      </c>
      <c r="W24" s="144" t="s">
        <v>10</v>
      </c>
      <c r="X24" s="144" t="s">
        <v>10</v>
      </c>
      <c r="Y24" s="144" t="s">
        <v>10</v>
      </c>
    </row>
    <row r="25" spans="1:25" ht="13.8">
      <c r="A25" s="140" t="s">
        <v>59</v>
      </c>
      <c r="B25" s="155">
        <v>0.97001000000000004</v>
      </c>
      <c r="C25" s="142" t="s">
        <v>10</v>
      </c>
      <c r="D25" s="143" t="s">
        <v>10</v>
      </c>
      <c r="E25" s="143" t="s">
        <v>10</v>
      </c>
      <c r="F25" s="143" t="s">
        <v>10</v>
      </c>
      <c r="G25" s="143" t="s">
        <v>10</v>
      </c>
      <c r="H25" s="143" t="s">
        <v>10</v>
      </c>
      <c r="I25" s="143" t="s">
        <v>10</v>
      </c>
      <c r="J25" s="144" t="s">
        <v>10</v>
      </c>
      <c r="K25" s="144" t="s">
        <v>10</v>
      </c>
      <c r="L25" s="144" t="s">
        <v>10</v>
      </c>
      <c r="N25" s="140" t="s">
        <v>59</v>
      </c>
      <c r="O25" s="155">
        <v>0.97001000000000004</v>
      </c>
      <c r="P25" s="142" t="s">
        <v>10</v>
      </c>
      <c r="Q25" s="143" t="s">
        <v>10</v>
      </c>
      <c r="R25" s="143" t="s">
        <v>10</v>
      </c>
      <c r="S25" s="143" t="s">
        <v>10</v>
      </c>
      <c r="T25" s="143" t="s">
        <v>10</v>
      </c>
      <c r="U25" s="143" t="s">
        <v>10</v>
      </c>
      <c r="V25" s="143" t="s">
        <v>10</v>
      </c>
      <c r="W25" s="144" t="s">
        <v>10</v>
      </c>
      <c r="X25" s="144" t="s">
        <v>10</v>
      </c>
      <c r="Y25" s="144" t="s">
        <v>10</v>
      </c>
    </row>
    <row r="26" spans="1:25" ht="13.8">
      <c r="A26" s="140" t="s">
        <v>60</v>
      </c>
      <c r="B26" s="155">
        <v>0.98001000000000005</v>
      </c>
      <c r="C26" s="142" t="s">
        <v>10</v>
      </c>
      <c r="D26" s="143" t="s">
        <v>10</v>
      </c>
      <c r="E26" s="143" t="s">
        <v>10</v>
      </c>
      <c r="F26" s="143" t="s">
        <v>10</v>
      </c>
      <c r="G26" s="143" t="s">
        <v>10</v>
      </c>
      <c r="H26" s="143" t="s">
        <v>10</v>
      </c>
      <c r="I26" s="143" t="s">
        <v>10</v>
      </c>
      <c r="J26" s="144" t="s">
        <v>10</v>
      </c>
      <c r="K26" s="144" t="s">
        <v>10</v>
      </c>
      <c r="L26" s="144" t="s">
        <v>10</v>
      </c>
      <c r="N26" s="140" t="s">
        <v>60</v>
      </c>
      <c r="O26" s="155">
        <v>0.98001000000000005</v>
      </c>
      <c r="P26" s="142" t="s">
        <v>10</v>
      </c>
      <c r="Q26" s="143" t="s">
        <v>10</v>
      </c>
      <c r="R26" s="143" t="s">
        <v>10</v>
      </c>
      <c r="S26" s="143" t="s">
        <v>10</v>
      </c>
      <c r="T26" s="143" t="s">
        <v>10</v>
      </c>
      <c r="U26" s="143" t="s">
        <v>10</v>
      </c>
      <c r="V26" s="143" t="s">
        <v>10</v>
      </c>
      <c r="W26" s="144" t="s">
        <v>10</v>
      </c>
      <c r="X26" s="144" t="s">
        <v>10</v>
      </c>
      <c r="Y26" s="144" t="s">
        <v>10</v>
      </c>
    </row>
    <row r="27" spans="1:25" ht="13.8">
      <c r="A27" s="141" t="s">
        <v>61</v>
      </c>
      <c r="B27" s="155">
        <v>0.99000999999999995</v>
      </c>
      <c r="C27" s="145" t="s">
        <v>10</v>
      </c>
      <c r="D27" s="146" t="s">
        <v>10</v>
      </c>
      <c r="E27" s="146" t="s">
        <v>10</v>
      </c>
      <c r="F27" s="146" t="s">
        <v>10</v>
      </c>
      <c r="G27" s="146" t="s">
        <v>10</v>
      </c>
      <c r="H27" s="146" t="s">
        <v>10</v>
      </c>
      <c r="I27" s="146" t="s">
        <v>10</v>
      </c>
      <c r="J27" s="147" t="s">
        <v>10</v>
      </c>
      <c r="K27" s="147" t="s">
        <v>10</v>
      </c>
      <c r="L27" s="147" t="s">
        <v>10</v>
      </c>
      <c r="N27" s="141" t="s">
        <v>61</v>
      </c>
      <c r="O27" s="155">
        <v>0.99000999999999995</v>
      </c>
      <c r="P27" s="145" t="s">
        <v>10</v>
      </c>
      <c r="Q27" s="146" t="s">
        <v>10</v>
      </c>
      <c r="R27" s="146" t="s">
        <v>10</v>
      </c>
      <c r="S27" s="146" t="s">
        <v>10</v>
      </c>
      <c r="T27" s="146" t="s">
        <v>10</v>
      </c>
      <c r="U27" s="146" t="s">
        <v>10</v>
      </c>
      <c r="V27" s="146" t="s">
        <v>10</v>
      </c>
      <c r="W27" s="147" t="s">
        <v>10</v>
      </c>
      <c r="X27" s="147" t="s">
        <v>10</v>
      </c>
      <c r="Y27" s="147" t="s">
        <v>10</v>
      </c>
    </row>
    <row r="28" spans="1:25" ht="13.8">
      <c r="A28" s="129"/>
      <c r="B28" s="130"/>
      <c r="C28" s="385" t="s">
        <v>186</v>
      </c>
      <c r="D28" s="386"/>
      <c r="E28" s="386"/>
      <c r="F28" s="386"/>
      <c r="G28" s="386"/>
      <c r="H28" s="386"/>
      <c r="I28" s="386"/>
      <c r="J28" s="386"/>
      <c r="K28" s="386"/>
      <c r="L28" s="387"/>
      <c r="N28" s="129"/>
      <c r="O28" s="130"/>
      <c r="P28" s="385" t="s">
        <v>186</v>
      </c>
      <c r="Q28" s="386"/>
      <c r="R28" s="386"/>
      <c r="S28" s="386"/>
      <c r="T28" s="386"/>
      <c r="U28" s="386"/>
      <c r="V28" s="386"/>
      <c r="W28" s="386"/>
      <c r="X28" s="386"/>
      <c r="Y28" s="387"/>
    </row>
    <row r="31" spans="1:25" ht="39.6">
      <c r="A31" s="132" t="s">
        <v>181</v>
      </c>
      <c r="B31" s="133"/>
      <c r="C31" s="134" t="s">
        <v>55</v>
      </c>
      <c r="D31" s="135" t="s">
        <v>56</v>
      </c>
      <c r="E31" s="135" t="s">
        <v>108</v>
      </c>
      <c r="F31" s="135" t="s">
        <v>109</v>
      </c>
      <c r="G31" s="135" t="s">
        <v>135</v>
      </c>
      <c r="H31" s="135" t="s">
        <v>136</v>
      </c>
      <c r="I31" s="136" t="s">
        <v>137</v>
      </c>
      <c r="J31" s="136" t="s">
        <v>138</v>
      </c>
      <c r="K31" s="136" t="s">
        <v>191</v>
      </c>
      <c r="L31" s="136" t="s">
        <v>192</v>
      </c>
      <c r="N31" s="132" t="s">
        <v>182</v>
      </c>
      <c r="O31" s="133"/>
      <c r="P31" s="134" t="s">
        <v>55</v>
      </c>
      <c r="Q31" s="135" t="s">
        <v>56</v>
      </c>
      <c r="R31" s="135" t="s">
        <v>108</v>
      </c>
      <c r="S31" s="135" t="s">
        <v>109</v>
      </c>
      <c r="T31" s="135" t="s">
        <v>135</v>
      </c>
      <c r="U31" s="135" t="s">
        <v>136</v>
      </c>
      <c r="V31" s="136" t="s">
        <v>137</v>
      </c>
      <c r="W31" s="136" t="s">
        <v>138</v>
      </c>
      <c r="X31" s="136" t="s">
        <v>191</v>
      </c>
      <c r="Y31" s="136" t="s">
        <v>192</v>
      </c>
    </row>
    <row r="32" spans="1:25" ht="8.25" customHeight="1">
      <c r="A32" s="137"/>
      <c r="B32" s="154"/>
      <c r="C32" s="156">
        <v>0</v>
      </c>
      <c r="D32" s="157">
        <v>300001</v>
      </c>
      <c r="E32" s="157">
        <v>500001</v>
      </c>
      <c r="F32" s="157">
        <v>600001</v>
      </c>
      <c r="G32" s="157">
        <v>750001</v>
      </c>
      <c r="H32" s="157">
        <v>1000001</v>
      </c>
      <c r="I32" s="157">
        <v>1500001</v>
      </c>
      <c r="J32" s="160">
        <v>2000001</v>
      </c>
      <c r="K32" s="160">
        <v>2500001</v>
      </c>
      <c r="L32" s="160">
        <v>3000001</v>
      </c>
      <c r="N32" s="137"/>
      <c r="O32" s="154"/>
      <c r="P32" s="156">
        <v>0</v>
      </c>
      <c r="Q32" s="157">
        <v>300001</v>
      </c>
      <c r="R32" s="157">
        <v>500001</v>
      </c>
      <c r="S32" s="157">
        <v>600001</v>
      </c>
      <c r="T32" s="157">
        <v>750001</v>
      </c>
      <c r="U32" s="157">
        <v>1000001</v>
      </c>
      <c r="V32" s="157">
        <v>1500001</v>
      </c>
      <c r="W32" s="160">
        <v>2000001</v>
      </c>
      <c r="X32" s="160">
        <v>2500001</v>
      </c>
      <c r="Y32" s="160">
        <v>3000001</v>
      </c>
    </row>
    <row r="33" spans="1:25" ht="13.8">
      <c r="A33" s="138" t="s">
        <v>35</v>
      </c>
      <c r="B33" s="155">
        <v>1.0000000000000001E-5</v>
      </c>
      <c r="C33" s="216">
        <v>0.59</v>
      </c>
      <c r="D33" s="217">
        <v>0.62</v>
      </c>
      <c r="E33" s="217">
        <v>0.67</v>
      </c>
      <c r="F33" s="217">
        <v>0.67</v>
      </c>
      <c r="G33" s="217">
        <v>0.67</v>
      </c>
      <c r="H33" s="217">
        <v>0.74</v>
      </c>
      <c r="I33" s="217">
        <v>0.74</v>
      </c>
      <c r="J33" s="217">
        <v>0.74</v>
      </c>
      <c r="K33" s="217">
        <v>0.74</v>
      </c>
      <c r="L33" s="217">
        <v>0.74</v>
      </c>
      <c r="N33" s="138" t="s">
        <v>35</v>
      </c>
      <c r="O33" s="155">
        <v>1.0000000000000001E-5</v>
      </c>
      <c r="P33" s="142" t="s">
        <v>10</v>
      </c>
      <c r="Q33" s="143" t="s">
        <v>10</v>
      </c>
      <c r="R33" s="143" t="s">
        <v>10</v>
      </c>
      <c r="S33" s="143" t="s">
        <v>10</v>
      </c>
      <c r="T33" s="143" t="s">
        <v>10</v>
      </c>
      <c r="U33" s="143" t="s">
        <v>10</v>
      </c>
      <c r="V33" s="143" t="s">
        <v>10</v>
      </c>
      <c r="W33" s="144" t="s">
        <v>10</v>
      </c>
      <c r="X33" s="144" t="s">
        <v>10</v>
      </c>
      <c r="Y33" s="144" t="s">
        <v>10</v>
      </c>
    </row>
    <row r="34" spans="1:25" ht="13.8">
      <c r="A34" s="139" t="s">
        <v>36</v>
      </c>
      <c r="B34" s="155">
        <v>0.60001000000000004</v>
      </c>
      <c r="C34" s="218">
        <v>0.65</v>
      </c>
      <c r="D34" s="219">
        <v>0.71</v>
      </c>
      <c r="E34" s="219">
        <v>0.98</v>
      </c>
      <c r="F34" s="219">
        <v>0.98</v>
      </c>
      <c r="G34" s="219">
        <v>0.98</v>
      </c>
      <c r="H34" s="219">
        <v>1.0900000000000001</v>
      </c>
      <c r="I34" s="219">
        <v>1.0900000000000001</v>
      </c>
      <c r="J34" s="219">
        <v>1.0900000000000001</v>
      </c>
      <c r="K34" s="219">
        <v>1.0900000000000001</v>
      </c>
      <c r="L34" s="219">
        <v>1.0900000000000001</v>
      </c>
      <c r="N34" s="139" t="s">
        <v>36</v>
      </c>
      <c r="O34" s="155">
        <v>0.60001000000000004</v>
      </c>
      <c r="P34" s="142" t="s">
        <v>10</v>
      </c>
      <c r="Q34" s="143" t="s">
        <v>10</v>
      </c>
      <c r="R34" s="143" t="s">
        <v>10</v>
      </c>
      <c r="S34" s="143" t="s">
        <v>10</v>
      </c>
      <c r="T34" s="143" t="s">
        <v>10</v>
      </c>
      <c r="U34" s="143" t="s">
        <v>10</v>
      </c>
      <c r="V34" s="143" t="s">
        <v>10</v>
      </c>
      <c r="W34" s="144" t="s">
        <v>10</v>
      </c>
      <c r="X34" s="144" t="s">
        <v>10</v>
      </c>
      <c r="Y34" s="144" t="s">
        <v>10</v>
      </c>
    </row>
    <row r="35" spans="1:25" ht="13.8">
      <c r="A35" s="139" t="s">
        <v>37</v>
      </c>
      <c r="B35" s="155">
        <v>0.65000999999999998</v>
      </c>
      <c r="C35" s="218">
        <v>0.65</v>
      </c>
      <c r="D35" s="219">
        <v>0.71</v>
      </c>
      <c r="E35" s="219">
        <v>0.98</v>
      </c>
      <c r="F35" s="219">
        <v>0.98</v>
      </c>
      <c r="G35" s="219">
        <v>0.98</v>
      </c>
      <c r="H35" s="219">
        <v>1.0900000000000001</v>
      </c>
      <c r="I35" s="219">
        <v>1.0900000000000001</v>
      </c>
      <c r="J35" s="219">
        <v>1.0900000000000001</v>
      </c>
      <c r="K35" s="219">
        <v>1.0900000000000001</v>
      </c>
      <c r="L35" s="219">
        <v>1.0900000000000001</v>
      </c>
      <c r="N35" s="139" t="s">
        <v>37</v>
      </c>
      <c r="O35" s="155">
        <v>0.65000999999999998</v>
      </c>
      <c r="P35" s="142" t="s">
        <v>10</v>
      </c>
      <c r="Q35" s="143" t="s">
        <v>10</v>
      </c>
      <c r="R35" s="143" t="s">
        <v>10</v>
      </c>
      <c r="S35" s="143" t="s">
        <v>10</v>
      </c>
      <c r="T35" s="143" t="s">
        <v>10</v>
      </c>
      <c r="U35" s="143" t="s">
        <v>10</v>
      </c>
      <c r="V35" s="143" t="s">
        <v>10</v>
      </c>
      <c r="W35" s="144" t="s">
        <v>10</v>
      </c>
      <c r="X35" s="144" t="s">
        <v>10</v>
      </c>
      <c r="Y35" s="144" t="s">
        <v>10</v>
      </c>
    </row>
    <row r="36" spans="1:25" ht="13.8">
      <c r="A36" s="139" t="s">
        <v>38</v>
      </c>
      <c r="B36" s="155">
        <v>0.70001000000000002</v>
      </c>
      <c r="C36" s="218">
        <v>0.88</v>
      </c>
      <c r="D36" s="219">
        <v>1.01</v>
      </c>
      <c r="E36" s="219">
        <v>1.66</v>
      </c>
      <c r="F36" s="219">
        <v>1.66</v>
      </c>
      <c r="G36" s="219">
        <v>1.66</v>
      </c>
      <c r="H36" s="219">
        <v>1.84</v>
      </c>
      <c r="I36" s="219">
        <v>1.84</v>
      </c>
      <c r="J36" s="219">
        <v>1.84</v>
      </c>
      <c r="K36" s="219">
        <v>1.84</v>
      </c>
      <c r="L36" s="219">
        <v>1.84</v>
      </c>
      <c r="N36" s="139" t="s">
        <v>38</v>
      </c>
      <c r="O36" s="155">
        <v>0.70001000000000002</v>
      </c>
      <c r="P36" s="142" t="s">
        <v>10</v>
      </c>
      <c r="Q36" s="143" t="s">
        <v>10</v>
      </c>
      <c r="R36" s="143" t="s">
        <v>10</v>
      </c>
      <c r="S36" s="143" t="s">
        <v>10</v>
      </c>
      <c r="T36" s="143" t="s">
        <v>10</v>
      </c>
      <c r="U36" s="143" t="s">
        <v>10</v>
      </c>
      <c r="V36" s="143" t="s">
        <v>10</v>
      </c>
      <c r="W36" s="144" t="s">
        <v>10</v>
      </c>
      <c r="X36" s="144" t="s">
        <v>10</v>
      </c>
      <c r="Y36" s="144" t="s">
        <v>10</v>
      </c>
    </row>
    <row r="37" spans="1:25" ht="13.8">
      <c r="A37" s="139" t="s">
        <v>39</v>
      </c>
      <c r="B37" s="155">
        <v>0.75000999999999995</v>
      </c>
      <c r="C37" s="212">
        <v>0.88</v>
      </c>
      <c r="D37" s="219">
        <v>1.01</v>
      </c>
      <c r="E37" s="219">
        <v>1.66</v>
      </c>
      <c r="F37" s="219">
        <v>1.66</v>
      </c>
      <c r="G37" s="219">
        <v>1.66</v>
      </c>
      <c r="H37" s="219">
        <v>1.84</v>
      </c>
      <c r="I37" s="219">
        <v>1.84</v>
      </c>
      <c r="J37" s="219">
        <v>1.84</v>
      </c>
      <c r="K37" s="219">
        <v>1.84</v>
      </c>
      <c r="L37" s="219">
        <v>1.84</v>
      </c>
      <c r="N37" s="139" t="s">
        <v>39</v>
      </c>
      <c r="O37" s="155">
        <v>0.75000999999999995</v>
      </c>
      <c r="P37" s="142" t="s">
        <v>10</v>
      </c>
      <c r="Q37" s="143" t="s">
        <v>10</v>
      </c>
      <c r="R37" s="143" t="s">
        <v>10</v>
      </c>
      <c r="S37" s="143" t="s">
        <v>10</v>
      </c>
      <c r="T37" s="143" t="s">
        <v>10</v>
      </c>
      <c r="U37" s="143" t="s">
        <v>10</v>
      </c>
      <c r="V37" s="143" t="s">
        <v>10</v>
      </c>
      <c r="W37" s="144" t="s">
        <v>10</v>
      </c>
      <c r="X37" s="144" t="s">
        <v>10</v>
      </c>
      <c r="Y37" s="144" t="s">
        <v>10</v>
      </c>
    </row>
    <row r="38" spans="1:25" ht="13.8">
      <c r="A38" s="140" t="s">
        <v>40</v>
      </c>
      <c r="B38" s="155">
        <v>0.80001</v>
      </c>
      <c r="C38" s="142" t="s">
        <v>10</v>
      </c>
      <c r="D38" s="143" t="s">
        <v>10</v>
      </c>
      <c r="E38" s="143" t="s">
        <v>10</v>
      </c>
      <c r="F38" s="143" t="s">
        <v>10</v>
      </c>
      <c r="G38" s="143" t="s">
        <v>10</v>
      </c>
      <c r="H38" s="143" t="s">
        <v>10</v>
      </c>
      <c r="I38" s="143" t="s">
        <v>10</v>
      </c>
      <c r="J38" s="144" t="s">
        <v>10</v>
      </c>
      <c r="K38" s="144" t="s">
        <v>10</v>
      </c>
      <c r="L38" s="144" t="s">
        <v>10</v>
      </c>
      <c r="N38" s="140" t="s">
        <v>40</v>
      </c>
      <c r="O38" s="155">
        <v>0.80001</v>
      </c>
      <c r="P38" s="142" t="s">
        <v>10</v>
      </c>
      <c r="Q38" s="143" t="s">
        <v>10</v>
      </c>
      <c r="R38" s="143" t="s">
        <v>10</v>
      </c>
      <c r="S38" s="143" t="s">
        <v>10</v>
      </c>
      <c r="T38" s="143" t="s">
        <v>10</v>
      </c>
      <c r="U38" s="143" t="s">
        <v>10</v>
      </c>
      <c r="V38" s="143" t="s">
        <v>10</v>
      </c>
      <c r="W38" s="144" t="s">
        <v>10</v>
      </c>
      <c r="X38" s="144" t="s">
        <v>10</v>
      </c>
      <c r="Y38" s="144" t="s">
        <v>10</v>
      </c>
    </row>
    <row r="39" spans="1:25" ht="13.8">
      <c r="A39" s="140" t="s">
        <v>41</v>
      </c>
      <c r="B39" s="155">
        <v>0.81001000000000001</v>
      </c>
      <c r="C39" s="142" t="s">
        <v>10</v>
      </c>
      <c r="D39" s="143" t="s">
        <v>10</v>
      </c>
      <c r="E39" s="143" t="s">
        <v>10</v>
      </c>
      <c r="F39" s="143" t="s">
        <v>10</v>
      </c>
      <c r="G39" s="143" t="s">
        <v>10</v>
      </c>
      <c r="H39" s="143" t="s">
        <v>10</v>
      </c>
      <c r="I39" s="143" t="s">
        <v>10</v>
      </c>
      <c r="J39" s="144" t="s">
        <v>10</v>
      </c>
      <c r="K39" s="144" t="s">
        <v>10</v>
      </c>
      <c r="L39" s="144" t="s">
        <v>10</v>
      </c>
      <c r="N39" s="140" t="s">
        <v>41</v>
      </c>
      <c r="O39" s="155">
        <v>0.81001000000000001</v>
      </c>
      <c r="P39" s="142" t="s">
        <v>10</v>
      </c>
      <c r="Q39" s="143" t="s">
        <v>10</v>
      </c>
      <c r="R39" s="143" t="s">
        <v>10</v>
      </c>
      <c r="S39" s="143" t="s">
        <v>10</v>
      </c>
      <c r="T39" s="143" t="s">
        <v>10</v>
      </c>
      <c r="U39" s="143" t="s">
        <v>10</v>
      </c>
      <c r="V39" s="143" t="s">
        <v>10</v>
      </c>
      <c r="W39" s="144" t="s">
        <v>10</v>
      </c>
      <c r="X39" s="144" t="s">
        <v>10</v>
      </c>
      <c r="Y39" s="144" t="s">
        <v>10</v>
      </c>
    </row>
    <row r="40" spans="1:25" ht="13.8">
      <c r="A40" s="140" t="s">
        <v>42</v>
      </c>
      <c r="B40" s="155">
        <v>0.82001000000000002</v>
      </c>
      <c r="C40" s="142" t="s">
        <v>10</v>
      </c>
      <c r="D40" s="143" t="s">
        <v>10</v>
      </c>
      <c r="E40" s="143" t="s">
        <v>10</v>
      </c>
      <c r="F40" s="143" t="s">
        <v>10</v>
      </c>
      <c r="G40" s="143" t="s">
        <v>10</v>
      </c>
      <c r="H40" s="143" t="s">
        <v>10</v>
      </c>
      <c r="I40" s="143" t="s">
        <v>10</v>
      </c>
      <c r="J40" s="144" t="s">
        <v>10</v>
      </c>
      <c r="K40" s="144" t="s">
        <v>10</v>
      </c>
      <c r="L40" s="144" t="s">
        <v>10</v>
      </c>
      <c r="N40" s="140" t="s">
        <v>42</v>
      </c>
      <c r="O40" s="155">
        <v>0.82001000000000002</v>
      </c>
      <c r="P40" s="142" t="s">
        <v>10</v>
      </c>
      <c r="Q40" s="143" t="s">
        <v>10</v>
      </c>
      <c r="R40" s="143" t="s">
        <v>10</v>
      </c>
      <c r="S40" s="143" t="s">
        <v>10</v>
      </c>
      <c r="T40" s="143" t="s">
        <v>10</v>
      </c>
      <c r="U40" s="143" t="s">
        <v>10</v>
      </c>
      <c r="V40" s="143" t="s">
        <v>10</v>
      </c>
      <c r="W40" s="144" t="s">
        <v>10</v>
      </c>
      <c r="X40" s="144" t="s">
        <v>10</v>
      </c>
      <c r="Y40" s="144" t="s">
        <v>10</v>
      </c>
    </row>
    <row r="41" spans="1:25" ht="13.8">
      <c r="A41" s="140" t="s">
        <v>43</v>
      </c>
      <c r="B41" s="155">
        <v>0.83001000000000003</v>
      </c>
      <c r="C41" s="142" t="s">
        <v>10</v>
      </c>
      <c r="D41" s="143" t="s">
        <v>10</v>
      </c>
      <c r="E41" s="143" t="s">
        <v>10</v>
      </c>
      <c r="F41" s="143" t="s">
        <v>10</v>
      </c>
      <c r="G41" s="143" t="s">
        <v>10</v>
      </c>
      <c r="H41" s="143" t="s">
        <v>10</v>
      </c>
      <c r="I41" s="143" t="s">
        <v>10</v>
      </c>
      <c r="J41" s="144" t="s">
        <v>10</v>
      </c>
      <c r="K41" s="144" t="s">
        <v>10</v>
      </c>
      <c r="L41" s="144" t="s">
        <v>10</v>
      </c>
      <c r="N41" s="140" t="s">
        <v>43</v>
      </c>
      <c r="O41" s="155">
        <v>0.83001000000000003</v>
      </c>
      <c r="P41" s="142" t="s">
        <v>10</v>
      </c>
      <c r="Q41" s="143" t="s">
        <v>10</v>
      </c>
      <c r="R41" s="143" t="s">
        <v>10</v>
      </c>
      <c r="S41" s="143" t="s">
        <v>10</v>
      </c>
      <c r="T41" s="143" t="s">
        <v>10</v>
      </c>
      <c r="U41" s="143" t="s">
        <v>10</v>
      </c>
      <c r="V41" s="143" t="s">
        <v>10</v>
      </c>
      <c r="W41" s="144" t="s">
        <v>10</v>
      </c>
      <c r="X41" s="144" t="s">
        <v>10</v>
      </c>
      <c r="Y41" s="144" t="s">
        <v>10</v>
      </c>
    </row>
    <row r="42" spans="1:25" ht="13.8">
      <c r="A42" s="140" t="s">
        <v>44</v>
      </c>
      <c r="B42" s="155">
        <v>0.84001000000000003</v>
      </c>
      <c r="C42" s="142" t="s">
        <v>10</v>
      </c>
      <c r="D42" s="143" t="s">
        <v>10</v>
      </c>
      <c r="E42" s="143" t="s">
        <v>10</v>
      </c>
      <c r="F42" s="143" t="s">
        <v>10</v>
      </c>
      <c r="G42" s="143" t="s">
        <v>10</v>
      </c>
      <c r="H42" s="143" t="s">
        <v>10</v>
      </c>
      <c r="I42" s="143" t="s">
        <v>10</v>
      </c>
      <c r="J42" s="144" t="s">
        <v>10</v>
      </c>
      <c r="K42" s="144" t="s">
        <v>10</v>
      </c>
      <c r="L42" s="144" t="s">
        <v>10</v>
      </c>
      <c r="N42" s="140" t="s">
        <v>44</v>
      </c>
      <c r="O42" s="155">
        <v>0.84001000000000003</v>
      </c>
      <c r="P42" s="142" t="s">
        <v>10</v>
      </c>
      <c r="Q42" s="143" t="s">
        <v>10</v>
      </c>
      <c r="R42" s="143" t="s">
        <v>10</v>
      </c>
      <c r="S42" s="143" t="s">
        <v>10</v>
      </c>
      <c r="T42" s="143" t="s">
        <v>10</v>
      </c>
      <c r="U42" s="143" t="s">
        <v>10</v>
      </c>
      <c r="V42" s="143" t="s">
        <v>10</v>
      </c>
      <c r="W42" s="144" t="s">
        <v>10</v>
      </c>
      <c r="X42" s="144" t="s">
        <v>10</v>
      </c>
      <c r="Y42" s="144" t="s">
        <v>10</v>
      </c>
    </row>
    <row r="43" spans="1:25" ht="13.8">
      <c r="A43" s="140" t="s">
        <v>45</v>
      </c>
      <c r="B43" s="155">
        <v>0.85001000000000004</v>
      </c>
      <c r="C43" s="142" t="s">
        <v>10</v>
      </c>
      <c r="D43" s="143" t="s">
        <v>10</v>
      </c>
      <c r="E43" s="143" t="s">
        <v>10</v>
      </c>
      <c r="F43" s="143" t="s">
        <v>10</v>
      </c>
      <c r="G43" s="143" t="s">
        <v>10</v>
      </c>
      <c r="H43" s="143" t="s">
        <v>10</v>
      </c>
      <c r="I43" s="143" t="s">
        <v>10</v>
      </c>
      <c r="J43" s="144" t="s">
        <v>10</v>
      </c>
      <c r="K43" s="144" t="s">
        <v>10</v>
      </c>
      <c r="L43" s="144" t="s">
        <v>10</v>
      </c>
      <c r="N43" s="140" t="s">
        <v>45</v>
      </c>
      <c r="O43" s="155">
        <v>0.85001000000000004</v>
      </c>
      <c r="P43" s="142" t="s">
        <v>10</v>
      </c>
      <c r="Q43" s="143" t="s">
        <v>10</v>
      </c>
      <c r="R43" s="143" t="s">
        <v>10</v>
      </c>
      <c r="S43" s="143" t="s">
        <v>10</v>
      </c>
      <c r="T43" s="143" t="s">
        <v>10</v>
      </c>
      <c r="U43" s="143" t="s">
        <v>10</v>
      </c>
      <c r="V43" s="143" t="s">
        <v>10</v>
      </c>
      <c r="W43" s="144" t="s">
        <v>10</v>
      </c>
      <c r="X43" s="144" t="s">
        <v>10</v>
      </c>
      <c r="Y43" s="144" t="s">
        <v>10</v>
      </c>
    </row>
    <row r="44" spans="1:25" ht="13.8">
      <c r="A44" s="140" t="s">
        <v>46</v>
      </c>
      <c r="B44" s="155">
        <v>0.86001000000000005</v>
      </c>
      <c r="C44" s="142" t="s">
        <v>10</v>
      </c>
      <c r="D44" s="143" t="s">
        <v>10</v>
      </c>
      <c r="E44" s="143" t="s">
        <v>10</v>
      </c>
      <c r="F44" s="143" t="s">
        <v>10</v>
      </c>
      <c r="G44" s="143" t="s">
        <v>10</v>
      </c>
      <c r="H44" s="143" t="s">
        <v>10</v>
      </c>
      <c r="I44" s="143" t="s">
        <v>10</v>
      </c>
      <c r="J44" s="144" t="s">
        <v>10</v>
      </c>
      <c r="K44" s="144" t="s">
        <v>10</v>
      </c>
      <c r="L44" s="144" t="s">
        <v>10</v>
      </c>
      <c r="N44" s="140" t="s">
        <v>46</v>
      </c>
      <c r="O44" s="155">
        <v>0.86001000000000005</v>
      </c>
      <c r="P44" s="142" t="s">
        <v>10</v>
      </c>
      <c r="Q44" s="143" t="s">
        <v>10</v>
      </c>
      <c r="R44" s="143" t="s">
        <v>10</v>
      </c>
      <c r="S44" s="143" t="s">
        <v>10</v>
      </c>
      <c r="T44" s="143" t="s">
        <v>10</v>
      </c>
      <c r="U44" s="143" t="s">
        <v>10</v>
      </c>
      <c r="V44" s="143" t="s">
        <v>10</v>
      </c>
      <c r="W44" s="144" t="s">
        <v>10</v>
      </c>
      <c r="X44" s="144" t="s">
        <v>10</v>
      </c>
      <c r="Y44" s="144" t="s">
        <v>10</v>
      </c>
    </row>
    <row r="45" spans="1:25" ht="13.8">
      <c r="A45" s="140" t="s">
        <v>47</v>
      </c>
      <c r="B45" s="155">
        <v>0.87000999999999995</v>
      </c>
      <c r="C45" s="142" t="s">
        <v>10</v>
      </c>
      <c r="D45" s="143" t="s">
        <v>10</v>
      </c>
      <c r="E45" s="143" t="s">
        <v>10</v>
      </c>
      <c r="F45" s="143" t="s">
        <v>10</v>
      </c>
      <c r="G45" s="143" t="s">
        <v>10</v>
      </c>
      <c r="H45" s="143" t="s">
        <v>10</v>
      </c>
      <c r="I45" s="143" t="s">
        <v>10</v>
      </c>
      <c r="J45" s="144" t="s">
        <v>10</v>
      </c>
      <c r="K45" s="144" t="s">
        <v>10</v>
      </c>
      <c r="L45" s="144" t="s">
        <v>10</v>
      </c>
      <c r="N45" s="140" t="s">
        <v>47</v>
      </c>
      <c r="O45" s="155">
        <v>0.87000999999999995</v>
      </c>
      <c r="P45" s="142" t="s">
        <v>10</v>
      </c>
      <c r="Q45" s="143" t="s">
        <v>10</v>
      </c>
      <c r="R45" s="143" t="s">
        <v>10</v>
      </c>
      <c r="S45" s="143" t="s">
        <v>10</v>
      </c>
      <c r="T45" s="143" t="s">
        <v>10</v>
      </c>
      <c r="U45" s="143" t="s">
        <v>10</v>
      </c>
      <c r="V45" s="143" t="s">
        <v>10</v>
      </c>
      <c r="W45" s="144" t="s">
        <v>10</v>
      </c>
      <c r="X45" s="144" t="s">
        <v>10</v>
      </c>
      <c r="Y45" s="144" t="s">
        <v>10</v>
      </c>
    </row>
    <row r="46" spans="1:25" ht="13.8">
      <c r="A46" s="140" t="s">
        <v>48</v>
      </c>
      <c r="B46" s="155">
        <v>0.88000999999999996</v>
      </c>
      <c r="C46" s="142" t="s">
        <v>10</v>
      </c>
      <c r="D46" s="143" t="s">
        <v>10</v>
      </c>
      <c r="E46" s="143" t="s">
        <v>10</v>
      </c>
      <c r="F46" s="143" t="s">
        <v>10</v>
      </c>
      <c r="G46" s="143" t="s">
        <v>10</v>
      </c>
      <c r="H46" s="143" t="s">
        <v>10</v>
      </c>
      <c r="I46" s="143" t="s">
        <v>10</v>
      </c>
      <c r="J46" s="144" t="s">
        <v>10</v>
      </c>
      <c r="K46" s="144" t="s">
        <v>10</v>
      </c>
      <c r="L46" s="144" t="s">
        <v>10</v>
      </c>
      <c r="N46" s="140" t="s">
        <v>48</v>
      </c>
      <c r="O46" s="155">
        <v>0.88000999999999996</v>
      </c>
      <c r="P46" s="142" t="s">
        <v>10</v>
      </c>
      <c r="Q46" s="143" t="s">
        <v>10</v>
      </c>
      <c r="R46" s="143" t="s">
        <v>10</v>
      </c>
      <c r="S46" s="143" t="s">
        <v>10</v>
      </c>
      <c r="T46" s="143" t="s">
        <v>10</v>
      </c>
      <c r="U46" s="143" t="s">
        <v>10</v>
      </c>
      <c r="V46" s="143" t="s">
        <v>10</v>
      </c>
      <c r="W46" s="144" t="s">
        <v>10</v>
      </c>
      <c r="X46" s="144" t="s">
        <v>10</v>
      </c>
      <c r="Y46" s="144" t="s">
        <v>10</v>
      </c>
    </row>
    <row r="47" spans="1:25" ht="13.8">
      <c r="A47" s="140" t="s">
        <v>49</v>
      </c>
      <c r="B47" s="155">
        <v>0.89000999999999997</v>
      </c>
      <c r="C47" s="142" t="s">
        <v>10</v>
      </c>
      <c r="D47" s="143" t="s">
        <v>10</v>
      </c>
      <c r="E47" s="143" t="s">
        <v>10</v>
      </c>
      <c r="F47" s="143" t="s">
        <v>10</v>
      </c>
      <c r="G47" s="143" t="s">
        <v>10</v>
      </c>
      <c r="H47" s="143" t="s">
        <v>10</v>
      </c>
      <c r="I47" s="143" t="s">
        <v>10</v>
      </c>
      <c r="J47" s="144" t="s">
        <v>10</v>
      </c>
      <c r="K47" s="144" t="s">
        <v>10</v>
      </c>
      <c r="L47" s="144" t="s">
        <v>10</v>
      </c>
      <c r="N47" s="140" t="s">
        <v>49</v>
      </c>
      <c r="O47" s="155">
        <v>0.89000999999999997</v>
      </c>
      <c r="P47" s="142" t="s">
        <v>10</v>
      </c>
      <c r="Q47" s="143" t="s">
        <v>10</v>
      </c>
      <c r="R47" s="143" t="s">
        <v>10</v>
      </c>
      <c r="S47" s="143" t="s">
        <v>10</v>
      </c>
      <c r="T47" s="143" t="s">
        <v>10</v>
      </c>
      <c r="U47" s="143" t="s">
        <v>10</v>
      </c>
      <c r="V47" s="143" t="s">
        <v>10</v>
      </c>
      <c r="W47" s="144" t="s">
        <v>10</v>
      </c>
      <c r="X47" s="144" t="s">
        <v>10</v>
      </c>
      <c r="Y47" s="144" t="s">
        <v>10</v>
      </c>
    </row>
    <row r="48" spans="1:25" ht="13.8">
      <c r="A48" s="140" t="s">
        <v>50</v>
      </c>
      <c r="B48" s="155">
        <v>0.90000999999999998</v>
      </c>
      <c r="C48" s="142" t="s">
        <v>10</v>
      </c>
      <c r="D48" s="143" t="s">
        <v>10</v>
      </c>
      <c r="E48" s="143" t="s">
        <v>10</v>
      </c>
      <c r="F48" s="143" t="s">
        <v>10</v>
      </c>
      <c r="G48" s="143" t="s">
        <v>10</v>
      </c>
      <c r="H48" s="143" t="s">
        <v>10</v>
      </c>
      <c r="I48" s="143" t="s">
        <v>10</v>
      </c>
      <c r="J48" s="144" t="s">
        <v>10</v>
      </c>
      <c r="K48" s="144" t="s">
        <v>10</v>
      </c>
      <c r="L48" s="144" t="s">
        <v>10</v>
      </c>
      <c r="N48" s="140" t="s">
        <v>50</v>
      </c>
      <c r="O48" s="155">
        <v>0.90000999999999998</v>
      </c>
      <c r="P48" s="142" t="s">
        <v>10</v>
      </c>
      <c r="Q48" s="143" t="s">
        <v>10</v>
      </c>
      <c r="R48" s="143" t="s">
        <v>10</v>
      </c>
      <c r="S48" s="143" t="s">
        <v>10</v>
      </c>
      <c r="T48" s="143" t="s">
        <v>10</v>
      </c>
      <c r="U48" s="143" t="s">
        <v>10</v>
      </c>
      <c r="V48" s="143" t="s">
        <v>10</v>
      </c>
      <c r="W48" s="144" t="s">
        <v>10</v>
      </c>
      <c r="X48" s="144" t="s">
        <v>10</v>
      </c>
      <c r="Y48" s="144" t="s">
        <v>10</v>
      </c>
    </row>
    <row r="49" spans="1:25" ht="13.8">
      <c r="A49" s="140" t="s">
        <v>51</v>
      </c>
      <c r="B49" s="155">
        <v>0.91000999999999999</v>
      </c>
      <c r="C49" s="142" t="s">
        <v>10</v>
      </c>
      <c r="D49" s="143" t="s">
        <v>10</v>
      </c>
      <c r="E49" s="143" t="s">
        <v>10</v>
      </c>
      <c r="F49" s="143" t="s">
        <v>10</v>
      </c>
      <c r="G49" s="143" t="s">
        <v>10</v>
      </c>
      <c r="H49" s="143" t="s">
        <v>10</v>
      </c>
      <c r="I49" s="143" t="s">
        <v>10</v>
      </c>
      <c r="J49" s="144" t="s">
        <v>10</v>
      </c>
      <c r="K49" s="144" t="s">
        <v>10</v>
      </c>
      <c r="L49" s="144" t="s">
        <v>10</v>
      </c>
      <c r="N49" s="140" t="s">
        <v>51</v>
      </c>
      <c r="O49" s="155">
        <v>0.91000999999999999</v>
      </c>
      <c r="P49" s="142" t="s">
        <v>10</v>
      </c>
      <c r="Q49" s="143" t="s">
        <v>10</v>
      </c>
      <c r="R49" s="143" t="s">
        <v>10</v>
      </c>
      <c r="S49" s="143" t="s">
        <v>10</v>
      </c>
      <c r="T49" s="143" t="s">
        <v>10</v>
      </c>
      <c r="U49" s="143" t="s">
        <v>10</v>
      </c>
      <c r="V49" s="143" t="s">
        <v>10</v>
      </c>
      <c r="W49" s="144" t="s">
        <v>10</v>
      </c>
      <c r="X49" s="144" t="s">
        <v>10</v>
      </c>
      <c r="Y49" s="144" t="s">
        <v>10</v>
      </c>
    </row>
    <row r="50" spans="1:25" ht="13.8">
      <c r="A50" s="140" t="s">
        <v>52</v>
      </c>
      <c r="B50" s="155">
        <v>0.92000999999999999</v>
      </c>
      <c r="C50" s="142" t="s">
        <v>10</v>
      </c>
      <c r="D50" s="143" t="s">
        <v>10</v>
      </c>
      <c r="E50" s="143" t="s">
        <v>10</v>
      </c>
      <c r="F50" s="143" t="s">
        <v>10</v>
      </c>
      <c r="G50" s="143" t="s">
        <v>10</v>
      </c>
      <c r="H50" s="143" t="s">
        <v>10</v>
      </c>
      <c r="I50" s="143" t="s">
        <v>10</v>
      </c>
      <c r="J50" s="144" t="s">
        <v>10</v>
      </c>
      <c r="K50" s="144" t="s">
        <v>10</v>
      </c>
      <c r="L50" s="144" t="s">
        <v>10</v>
      </c>
      <c r="N50" s="140" t="s">
        <v>52</v>
      </c>
      <c r="O50" s="155">
        <v>0.92000999999999999</v>
      </c>
      <c r="P50" s="142" t="s">
        <v>10</v>
      </c>
      <c r="Q50" s="143" t="s">
        <v>10</v>
      </c>
      <c r="R50" s="143" t="s">
        <v>10</v>
      </c>
      <c r="S50" s="143" t="s">
        <v>10</v>
      </c>
      <c r="T50" s="143" t="s">
        <v>10</v>
      </c>
      <c r="U50" s="143" t="s">
        <v>10</v>
      </c>
      <c r="V50" s="143" t="s">
        <v>10</v>
      </c>
      <c r="W50" s="144" t="s">
        <v>10</v>
      </c>
      <c r="X50" s="144" t="s">
        <v>10</v>
      </c>
      <c r="Y50" s="144" t="s">
        <v>10</v>
      </c>
    </row>
    <row r="51" spans="1:25" ht="13.8">
      <c r="A51" s="140" t="s">
        <v>53</v>
      </c>
      <c r="B51" s="155">
        <v>0.93001</v>
      </c>
      <c r="C51" s="142" t="s">
        <v>10</v>
      </c>
      <c r="D51" s="143" t="s">
        <v>10</v>
      </c>
      <c r="E51" s="143" t="s">
        <v>10</v>
      </c>
      <c r="F51" s="143" t="s">
        <v>10</v>
      </c>
      <c r="G51" s="143" t="s">
        <v>10</v>
      </c>
      <c r="H51" s="143" t="s">
        <v>10</v>
      </c>
      <c r="I51" s="143" t="s">
        <v>10</v>
      </c>
      <c r="J51" s="144" t="s">
        <v>10</v>
      </c>
      <c r="K51" s="144" t="s">
        <v>10</v>
      </c>
      <c r="L51" s="144" t="s">
        <v>10</v>
      </c>
      <c r="N51" s="140" t="s">
        <v>53</v>
      </c>
      <c r="O51" s="155">
        <v>0.93001</v>
      </c>
      <c r="P51" s="142" t="s">
        <v>10</v>
      </c>
      <c r="Q51" s="143" t="s">
        <v>10</v>
      </c>
      <c r="R51" s="143" t="s">
        <v>10</v>
      </c>
      <c r="S51" s="143" t="s">
        <v>10</v>
      </c>
      <c r="T51" s="143" t="s">
        <v>10</v>
      </c>
      <c r="U51" s="143" t="s">
        <v>10</v>
      </c>
      <c r="V51" s="143" t="s">
        <v>10</v>
      </c>
      <c r="W51" s="144" t="s">
        <v>10</v>
      </c>
      <c r="X51" s="144" t="s">
        <v>10</v>
      </c>
      <c r="Y51" s="144" t="s">
        <v>10</v>
      </c>
    </row>
    <row r="52" spans="1:25" ht="13.8">
      <c r="A52" s="140" t="s">
        <v>54</v>
      </c>
      <c r="B52" s="155">
        <v>0.94001000000000001</v>
      </c>
      <c r="C52" s="142" t="s">
        <v>10</v>
      </c>
      <c r="D52" s="143" t="s">
        <v>10</v>
      </c>
      <c r="E52" s="143" t="s">
        <v>10</v>
      </c>
      <c r="F52" s="143" t="s">
        <v>10</v>
      </c>
      <c r="G52" s="143" t="s">
        <v>10</v>
      </c>
      <c r="H52" s="143" t="s">
        <v>10</v>
      </c>
      <c r="I52" s="143" t="s">
        <v>10</v>
      </c>
      <c r="J52" s="144" t="s">
        <v>10</v>
      </c>
      <c r="K52" s="144" t="s">
        <v>10</v>
      </c>
      <c r="L52" s="144" t="s">
        <v>10</v>
      </c>
      <c r="N52" s="140" t="s">
        <v>54</v>
      </c>
      <c r="O52" s="155">
        <v>0.94001000000000001</v>
      </c>
      <c r="P52" s="142" t="s">
        <v>10</v>
      </c>
      <c r="Q52" s="143" t="s">
        <v>10</v>
      </c>
      <c r="R52" s="143" t="s">
        <v>10</v>
      </c>
      <c r="S52" s="143" t="s">
        <v>10</v>
      </c>
      <c r="T52" s="143" t="s">
        <v>10</v>
      </c>
      <c r="U52" s="143" t="s">
        <v>10</v>
      </c>
      <c r="V52" s="143" t="s">
        <v>10</v>
      </c>
      <c r="W52" s="144" t="s">
        <v>10</v>
      </c>
      <c r="X52" s="144" t="s">
        <v>10</v>
      </c>
      <c r="Y52" s="144" t="s">
        <v>10</v>
      </c>
    </row>
    <row r="53" spans="1:25" ht="13.8">
      <c r="A53" s="140" t="s">
        <v>57</v>
      </c>
      <c r="B53" s="155">
        <v>0.95001000000000002</v>
      </c>
      <c r="C53" s="142" t="s">
        <v>10</v>
      </c>
      <c r="D53" s="143" t="s">
        <v>10</v>
      </c>
      <c r="E53" s="143" t="s">
        <v>10</v>
      </c>
      <c r="F53" s="143" t="s">
        <v>10</v>
      </c>
      <c r="G53" s="143" t="s">
        <v>10</v>
      </c>
      <c r="H53" s="143" t="s">
        <v>10</v>
      </c>
      <c r="I53" s="143" t="s">
        <v>10</v>
      </c>
      <c r="J53" s="144" t="s">
        <v>10</v>
      </c>
      <c r="K53" s="144" t="s">
        <v>10</v>
      </c>
      <c r="L53" s="144" t="s">
        <v>10</v>
      </c>
      <c r="N53" s="140" t="s">
        <v>57</v>
      </c>
      <c r="O53" s="155">
        <v>0.95001000000000002</v>
      </c>
      <c r="P53" s="142" t="s">
        <v>10</v>
      </c>
      <c r="Q53" s="143" t="s">
        <v>10</v>
      </c>
      <c r="R53" s="143" t="s">
        <v>10</v>
      </c>
      <c r="S53" s="143" t="s">
        <v>10</v>
      </c>
      <c r="T53" s="143" t="s">
        <v>10</v>
      </c>
      <c r="U53" s="143" t="s">
        <v>10</v>
      </c>
      <c r="V53" s="143" t="s">
        <v>10</v>
      </c>
      <c r="W53" s="144" t="s">
        <v>10</v>
      </c>
      <c r="X53" s="144" t="s">
        <v>10</v>
      </c>
      <c r="Y53" s="144" t="s">
        <v>10</v>
      </c>
    </row>
    <row r="54" spans="1:25" ht="13.8">
      <c r="A54" s="140" t="s">
        <v>58</v>
      </c>
      <c r="B54" s="155">
        <v>0.96001000000000003</v>
      </c>
      <c r="C54" s="142" t="s">
        <v>10</v>
      </c>
      <c r="D54" s="143" t="s">
        <v>10</v>
      </c>
      <c r="E54" s="143" t="s">
        <v>10</v>
      </c>
      <c r="F54" s="143" t="s">
        <v>10</v>
      </c>
      <c r="G54" s="143" t="s">
        <v>10</v>
      </c>
      <c r="H54" s="143" t="s">
        <v>10</v>
      </c>
      <c r="I54" s="143" t="s">
        <v>10</v>
      </c>
      <c r="J54" s="144" t="s">
        <v>10</v>
      </c>
      <c r="K54" s="144" t="s">
        <v>10</v>
      </c>
      <c r="L54" s="144" t="s">
        <v>10</v>
      </c>
      <c r="N54" s="140" t="s">
        <v>58</v>
      </c>
      <c r="O54" s="155">
        <v>0.96001000000000003</v>
      </c>
      <c r="P54" s="142" t="s">
        <v>10</v>
      </c>
      <c r="Q54" s="143" t="s">
        <v>10</v>
      </c>
      <c r="R54" s="143" t="s">
        <v>10</v>
      </c>
      <c r="S54" s="143" t="s">
        <v>10</v>
      </c>
      <c r="T54" s="143" t="s">
        <v>10</v>
      </c>
      <c r="U54" s="143" t="s">
        <v>10</v>
      </c>
      <c r="V54" s="143" t="s">
        <v>10</v>
      </c>
      <c r="W54" s="144" t="s">
        <v>10</v>
      </c>
      <c r="X54" s="144" t="s">
        <v>10</v>
      </c>
      <c r="Y54" s="144" t="s">
        <v>10</v>
      </c>
    </row>
    <row r="55" spans="1:25" ht="13.8">
      <c r="A55" s="140" t="s">
        <v>59</v>
      </c>
      <c r="B55" s="155">
        <v>0.97001000000000004</v>
      </c>
      <c r="C55" s="142" t="s">
        <v>10</v>
      </c>
      <c r="D55" s="143" t="s">
        <v>10</v>
      </c>
      <c r="E55" s="143" t="s">
        <v>10</v>
      </c>
      <c r="F55" s="143" t="s">
        <v>10</v>
      </c>
      <c r="G55" s="143" t="s">
        <v>10</v>
      </c>
      <c r="H55" s="143" t="s">
        <v>10</v>
      </c>
      <c r="I55" s="143" t="s">
        <v>10</v>
      </c>
      <c r="J55" s="144" t="s">
        <v>10</v>
      </c>
      <c r="K55" s="144" t="s">
        <v>10</v>
      </c>
      <c r="L55" s="144" t="s">
        <v>10</v>
      </c>
      <c r="N55" s="140" t="s">
        <v>59</v>
      </c>
      <c r="O55" s="155">
        <v>0.97001000000000004</v>
      </c>
      <c r="P55" s="142" t="s">
        <v>10</v>
      </c>
      <c r="Q55" s="143" t="s">
        <v>10</v>
      </c>
      <c r="R55" s="143" t="s">
        <v>10</v>
      </c>
      <c r="S55" s="143" t="s">
        <v>10</v>
      </c>
      <c r="T55" s="143" t="s">
        <v>10</v>
      </c>
      <c r="U55" s="143" t="s">
        <v>10</v>
      </c>
      <c r="V55" s="143" t="s">
        <v>10</v>
      </c>
      <c r="W55" s="144" t="s">
        <v>10</v>
      </c>
      <c r="X55" s="144" t="s">
        <v>10</v>
      </c>
      <c r="Y55" s="144" t="s">
        <v>10</v>
      </c>
    </row>
    <row r="56" spans="1:25" ht="13.8">
      <c r="A56" s="140" t="s">
        <v>60</v>
      </c>
      <c r="B56" s="155">
        <v>0.98001000000000005</v>
      </c>
      <c r="C56" s="142" t="s">
        <v>10</v>
      </c>
      <c r="D56" s="143" t="s">
        <v>10</v>
      </c>
      <c r="E56" s="143" t="s">
        <v>10</v>
      </c>
      <c r="F56" s="143" t="s">
        <v>10</v>
      </c>
      <c r="G56" s="143" t="s">
        <v>10</v>
      </c>
      <c r="H56" s="143" t="s">
        <v>10</v>
      </c>
      <c r="I56" s="143" t="s">
        <v>10</v>
      </c>
      <c r="J56" s="144" t="s">
        <v>10</v>
      </c>
      <c r="K56" s="144" t="s">
        <v>10</v>
      </c>
      <c r="L56" s="144" t="s">
        <v>10</v>
      </c>
      <c r="N56" s="140" t="s">
        <v>60</v>
      </c>
      <c r="O56" s="155">
        <v>0.98001000000000005</v>
      </c>
      <c r="P56" s="142" t="s">
        <v>10</v>
      </c>
      <c r="Q56" s="143" t="s">
        <v>10</v>
      </c>
      <c r="R56" s="143" t="s">
        <v>10</v>
      </c>
      <c r="S56" s="143" t="s">
        <v>10</v>
      </c>
      <c r="T56" s="143" t="s">
        <v>10</v>
      </c>
      <c r="U56" s="143" t="s">
        <v>10</v>
      </c>
      <c r="V56" s="143" t="s">
        <v>10</v>
      </c>
      <c r="W56" s="144" t="s">
        <v>10</v>
      </c>
      <c r="X56" s="144" t="s">
        <v>10</v>
      </c>
      <c r="Y56" s="144" t="s">
        <v>10</v>
      </c>
    </row>
    <row r="57" spans="1:25" ht="13.8">
      <c r="A57" s="141" t="s">
        <v>61</v>
      </c>
      <c r="B57" s="155">
        <v>0.99000999999999995</v>
      </c>
      <c r="C57" s="145" t="s">
        <v>10</v>
      </c>
      <c r="D57" s="146" t="s">
        <v>10</v>
      </c>
      <c r="E57" s="146" t="s">
        <v>10</v>
      </c>
      <c r="F57" s="146" t="s">
        <v>10</v>
      </c>
      <c r="G57" s="146" t="s">
        <v>10</v>
      </c>
      <c r="H57" s="146" t="s">
        <v>10</v>
      </c>
      <c r="I57" s="146" t="s">
        <v>10</v>
      </c>
      <c r="J57" s="147" t="s">
        <v>10</v>
      </c>
      <c r="K57" s="147" t="s">
        <v>10</v>
      </c>
      <c r="L57" s="147" t="s">
        <v>10</v>
      </c>
      <c r="N57" s="141" t="s">
        <v>61</v>
      </c>
      <c r="O57" s="155">
        <v>0.99000999999999995</v>
      </c>
      <c r="P57" s="145" t="s">
        <v>10</v>
      </c>
      <c r="Q57" s="146" t="s">
        <v>10</v>
      </c>
      <c r="R57" s="146" t="s">
        <v>10</v>
      </c>
      <c r="S57" s="146" t="s">
        <v>10</v>
      </c>
      <c r="T57" s="146" t="s">
        <v>10</v>
      </c>
      <c r="U57" s="146" t="s">
        <v>10</v>
      </c>
      <c r="V57" s="146" t="s">
        <v>10</v>
      </c>
      <c r="W57" s="147" t="s">
        <v>10</v>
      </c>
      <c r="X57" s="147" t="s">
        <v>10</v>
      </c>
      <c r="Y57" s="147" t="s">
        <v>10</v>
      </c>
    </row>
    <row r="58" spans="1:25" ht="13.8">
      <c r="A58" s="129"/>
      <c r="B58" s="130"/>
      <c r="C58" s="385" t="s">
        <v>187</v>
      </c>
      <c r="D58" s="386"/>
      <c r="E58" s="386"/>
      <c r="F58" s="386"/>
      <c r="G58" s="386"/>
      <c r="H58" s="386"/>
      <c r="I58" s="386"/>
      <c r="J58" s="386"/>
      <c r="K58" s="386"/>
      <c r="L58" s="387"/>
      <c r="N58" s="129"/>
      <c r="O58" s="130"/>
      <c r="P58" s="385" t="s">
        <v>187</v>
      </c>
      <c r="Q58" s="386"/>
      <c r="R58" s="386"/>
      <c r="S58" s="386"/>
      <c r="T58" s="386"/>
      <c r="U58" s="386"/>
      <c r="V58" s="386"/>
      <c r="W58" s="386"/>
      <c r="X58" s="386"/>
      <c r="Y58" s="387"/>
    </row>
    <row r="61" spans="1:25" ht="39.6">
      <c r="A61" s="132" t="s">
        <v>139</v>
      </c>
      <c r="B61" s="133"/>
      <c r="C61" s="134" t="s">
        <v>55</v>
      </c>
      <c r="D61" s="135" t="s">
        <v>56</v>
      </c>
      <c r="E61" s="135" t="s">
        <v>108</v>
      </c>
      <c r="F61" s="135" t="s">
        <v>109</v>
      </c>
      <c r="G61" s="135" t="s">
        <v>135</v>
      </c>
      <c r="H61" s="135" t="s">
        <v>136</v>
      </c>
      <c r="I61" s="136" t="s">
        <v>137</v>
      </c>
      <c r="J61" s="136" t="s">
        <v>138</v>
      </c>
      <c r="K61" s="136" t="s">
        <v>191</v>
      </c>
      <c r="L61" s="136" t="s">
        <v>192</v>
      </c>
      <c r="N61" s="132" t="s">
        <v>141</v>
      </c>
      <c r="O61" s="133"/>
      <c r="P61" s="134" t="s">
        <v>55</v>
      </c>
      <c r="Q61" s="135" t="s">
        <v>56</v>
      </c>
      <c r="R61" s="135" t="s">
        <v>108</v>
      </c>
      <c r="S61" s="135" t="s">
        <v>109</v>
      </c>
      <c r="T61" s="135" t="s">
        <v>135</v>
      </c>
      <c r="U61" s="135" t="s">
        <v>136</v>
      </c>
      <c r="V61" s="136" t="s">
        <v>137</v>
      </c>
      <c r="W61" s="136" t="s">
        <v>138</v>
      </c>
      <c r="X61" s="136" t="s">
        <v>191</v>
      </c>
      <c r="Y61" s="136" t="s">
        <v>192</v>
      </c>
    </row>
    <row r="62" spans="1:25" ht="8.25" customHeight="1">
      <c r="A62" s="137"/>
      <c r="B62" s="154"/>
      <c r="C62" s="156">
        <v>0</v>
      </c>
      <c r="D62" s="157">
        <v>300001</v>
      </c>
      <c r="E62" s="157">
        <v>500001</v>
      </c>
      <c r="F62" s="157">
        <v>600001</v>
      </c>
      <c r="G62" s="157">
        <v>750001</v>
      </c>
      <c r="H62" s="157">
        <v>1000001</v>
      </c>
      <c r="I62" s="157">
        <v>1500001</v>
      </c>
      <c r="J62" s="160">
        <v>2000001</v>
      </c>
      <c r="K62" s="160">
        <v>2500001</v>
      </c>
      <c r="L62" s="160">
        <v>3000001</v>
      </c>
      <c r="N62" s="137"/>
      <c r="O62" s="154"/>
      <c r="P62" s="156">
        <v>0</v>
      </c>
      <c r="Q62" s="157">
        <v>300001</v>
      </c>
      <c r="R62" s="157">
        <v>500001</v>
      </c>
      <c r="S62" s="157">
        <v>600001</v>
      </c>
      <c r="T62" s="157">
        <v>750001</v>
      </c>
      <c r="U62" s="157">
        <v>1000001</v>
      </c>
      <c r="V62" s="157">
        <v>1500001</v>
      </c>
      <c r="W62" s="160">
        <v>2000001</v>
      </c>
      <c r="X62" s="160">
        <v>2500001</v>
      </c>
      <c r="Y62" s="160">
        <v>3000001</v>
      </c>
    </row>
    <row r="63" spans="1:25" ht="13.8">
      <c r="A63" s="138" t="s">
        <v>35</v>
      </c>
      <c r="B63" s="155">
        <v>1.0000000000000001E-5</v>
      </c>
      <c r="C63" s="142" t="s">
        <v>10</v>
      </c>
      <c r="D63" s="143" t="s">
        <v>10</v>
      </c>
      <c r="E63" s="143" t="s">
        <v>10</v>
      </c>
      <c r="F63" s="143" t="s">
        <v>10</v>
      </c>
      <c r="G63" s="143" t="s">
        <v>10</v>
      </c>
      <c r="H63" s="143" t="s">
        <v>10</v>
      </c>
      <c r="I63" s="143" t="s">
        <v>10</v>
      </c>
      <c r="J63" s="144" t="s">
        <v>10</v>
      </c>
      <c r="K63" s="144" t="s">
        <v>10</v>
      </c>
      <c r="L63" s="144" t="s">
        <v>10</v>
      </c>
      <c r="N63" s="138" t="s">
        <v>35</v>
      </c>
      <c r="O63" s="155">
        <v>1.0000000000000001E-5</v>
      </c>
      <c r="P63" s="142" t="s">
        <v>10</v>
      </c>
      <c r="Q63" s="143" t="s">
        <v>10</v>
      </c>
      <c r="R63" s="143" t="s">
        <v>10</v>
      </c>
      <c r="S63" s="143" t="s">
        <v>10</v>
      </c>
      <c r="T63" s="143" t="s">
        <v>10</v>
      </c>
      <c r="U63" s="143" t="s">
        <v>10</v>
      </c>
      <c r="V63" s="143" t="s">
        <v>10</v>
      </c>
      <c r="W63" s="144" t="s">
        <v>10</v>
      </c>
      <c r="X63" s="144" t="s">
        <v>10</v>
      </c>
      <c r="Y63" s="144" t="s">
        <v>10</v>
      </c>
    </row>
    <row r="64" spans="1:25" ht="13.8">
      <c r="A64" s="139" t="s">
        <v>36</v>
      </c>
      <c r="B64" s="155">
        <v>0.60001000000000004</v>
      </c>
      <c r="C64" s="142" t="s">
        <v>10</v>
      </c>
      <c r="D64" s="143" t="s">
        <v>10</v>
      </c>
      <c r="E64" s="143" t="s">
        <v>10</v>
      </c>
      <c r="F64" s="143" t="s">
        <v>10</v>
      </c>
      <c r="G64" s="143" t="s">
        <v>10</v>
      </c>
      <c r="H64" s="143" t="s">
        <v>10</v>
      </c>
      <c r="I64" s="143" t="s">
        <v>10</v>
      </c>
      <c r="J64" s="144" t="s">
        <v>10</v>
      </c>
      <c r="K64" s="144" t="s">
        <v>10</v>
      </c>
      <c r="L64" s="144" t="s">
        <v>10</v>
      </c>
      <c r="N64" s="139" t="s">
        <v>36</v>
      </c>
      <c r="O64" s="155">
        <v>0.60001000000000004</v>
      </c>
      <c r="P64" s="142" t="s">
        <v>10</v>
      </c>
      <c r="Q64" s="143" t="s">
        <v>10</v>
      </c>
      <c r="R64" s="143" t="s">
        <v>10</v>
      </c>
      <c r="S64" s="143" t="s">
        <v>10</v>
      </c>
      <c r="T64" s="143" t="s">
        <v>10</v>
      </c>
      <c r="U64" s="143" t="s">
        <v>10</v>
      </c>
      <c r="V64" s="143" t="s">
        <v>10</v>
      </c>
      <c r="W64" s="144" t="s">
        <v>10</v>
      </c>
      <c r="X64" s="144" t="s">
        <v>10</v>
      </c>
      <c r="Y64" s="144" t="s">
        <v>10</v>
      </c>
    </row>
    <row r="65" spans="1:25" ht="13.8">
      <c r="A65" s="139" t="s">
        <v>37</v>
      </c>
      <c r="B65" s="155">
        <v>0.65000999999999998</v>
      </c>
      <c r="C65" s="142" t="s">
        <v>10</v>
      </c>
      <c r="D65" s="143" t="s">
        <v>10</v>
      </c>
      <c r="E65" s="143" t="s">
        <v>10</v>
      </c>
      <c r="F65" s="143" t="s">
        <v>10</v>
      </c>
      <c r="G65" s="143" t="s">
        <v>10</v>
      </c>
      <c r="H65" s="143" t="s">
        <v>10</v>
      </c>
      <c r="I65" s="143" t="s">
        <v>10</v>
      </c>
      <c r="J65" s="144" t="s">
        <v>10</v>
      </c>
      <c r="K65" s="144" t="s">
        <v>10</v>
      </c>
      <c r="L65" s="144" t="s">
        <v>10</v>
      </c>
      <c r="N65" s="139" t="s">
        <v>37</v>
      </c>
      <c r="O65" s="155">
        <v>0.65000999999999998</v>
      </c>
      <c r="P65" s="142" t="s">
        <v>10</v>
      </c>
      <c r="Q65" s="143" t="s">
        <v>10</v>
      </c>
      <c r="R65" s="143" t="s">
        <v>10</v>
      </c>
      <c r="S65" s="143" t="s">
        <v>10</v>
      </c>
      <c r="T65" s="143" t="s">
        <v>10</v>
      </c>
      <c r="U65" s="143" t="s">
        <v>10</v>
      </c>
      <c r="V65" s="143" t="s">
        <v>10</v>
      </c>
      <c r="W65" s="144" t="s">
        <v>10</v>
      </c>
      <c r="X65" s="144" t="s">
        <v>10</v>
      </c>
      <c r="Y65" s="144" t="s">
        <v>10</v>
      </c>
    </row>
    <row r="66" spans="1:25" ht="13.8">
      <c r="A66" s="139" t="s">
        <v>38</v>
      </c>
      <c r="B66" s="155">
        <v>0.70001000000000002</v>
      </c>
      <c r="C66" s="142" t="s">
        <v>10</v>
      </c>
      <c r="D66" s="143" t="s">
        <v>10</v>
      </c>
      <c r="E66" s="143" t="s">
        <v>10</v>
      </c>
      <c r="F66" s="143" t="s">
        <v>10</v>
      </c>
      <c r="G66" s="143" t="s">
        <v>10</v>
      </c>
      <c r="H66" s="143" t="s">
        <v>10</v>
      </c>
      <c r="I66" s="143" t="s">
        <v>10</v>
      </c>
      <c r="J66" s="144" t="s">
        <v>10</v>
      </c>
      <c r="K66" s="144" t="s">
        <v>10</v>
      </c>
      <c r="L66" s="144" t="s">
        <v>10</v>
      </c>
      <c r="N66" s="139" t="s">
        <v>38</v>
      </c>
      <c r="O66" s="155">
        <v>0.70001000000000002</v>
      </c>
      <c r="P66" s="142" t="s">
        <v>10</v>
      </c>
      <c r="Q66" s="143" t="s">
        <v>10</v>
      </c>
      <c r="R66" s="143" t="s">
        <v>10</v>
      </c>
      <c r="S66" s="143" t="s">
        <v>10</v>
      </c>
      <c r="T66" s="143" t="s">
        <v>10</v>
      </c>
      <c r="U66" s="143" t="s">
        <v>10</v>
      </c>
      <c r="V66" s="143" t="s">
        <v>10</v>
      </c>
      <c r="W66" s="144" t="s">
        <v>10</v>
      </c>
      <c r="X66" s="144" t="s">
        <v>10</v>
      </c>
      <c r="Y66" s="144" t="s">
        <v>10</v>
      </c>
    </row>
    <row r="67" spans="1:25" ht="13.8">
      <c r="A67" s="139" t="s">
        <v>39</v>
      </c>
      <c r="B67" s="155">
        <v>0.75000999999999995</v>
      </c>
      <c r="C67" s="142" t="s">
        <v>10</v>
      </c>
      <c r="D67" s="143" t="s">
        <v>10</v>
      </c>
      <c r="E67" s="143" t="s">
        <v>10</v>
      </c>
      <c r="F67" s="143" t="s">
        <v>10</v>
      </c>
      <c r="G67" s="143" t="s">
        <v>10</v>
      </c>
      <c r="H67" s="143" t="s">
        <v>10</v>
      </c>
      <c r="I67" s="143" t="s">
        <v>10</v>
      </c>
      <c r="J67" s="144" t="s">
        <v>10</v>
      </c>
      <c r="K67" s="144" t="s">
        <v>10</v>
      </c>
      <c r="L67" s="144" t="s">
        <v>10</v>
      </c>
      <c r="N67" s="139" t="s">
        <v>39</v>
      </c>
      <c r="O67" s="155">
        <v>0.75000999999999995</v>
      </c>
      <c r="P67" s="142" t="s">
        <v>10</v>
      </c>
      <c r="Q67" s="143" t="s">
        <v>10</v>
      </c>
      <c r="R67" s="143" t="s">
        <v>10</v>
      </c>
      <c r="S67" s="143" t="s">
        <v>10</v>
      </c>
      <c r="T67" s="143" t="s">
        <v>10</v>
      </c>
      <c r="U67" s="143" t="s">
        <v>10</v>
      </c>
      <c r="V67" s="143" t="s">
        <v>10</v>
      </c>
      <c r="W67" s="144" t="s">
        <v>10</v>
      </c>
      <c r="X67" s="144" t="s">
        <v>10</v>
      </c>
      <c r="Y67" s="144" t="s">
        <v>10</v>
      </c>
    </row>
    <row r="68" spans="1:25" ht="13.8">
      <c r="A68" s="140" t="s">
        <v>40</v>
      </c>
      <c r="B68" s="155">
        <v>0.80001</v>
      </c>
      <c r="C68" s="142" t="s">
        <v>10</v>
      </c>
      <c r="D68" s="143" t="s">
        <v>10</v>
      </c>
      <c r="E68" s="143" t="s">
        <v>10</v>
      </c>
      <c r="F68" s="143" t="s">
        <v>10</v>
      </c>
      <c r="G68" s="143" t="s">
        <v>10</v>
      </c>
      <c r="H68" s="143" t="s">
        <v>10</v>
      </c>
      <c r="I68" s="143" t="s">
        <v>10</v>
      </c>
      <c r="J68" s="144" t="s">
        <v>10</v>
      </c>
      <c r="K68" s="144" t="s">
        <v>10</v>
      </c>
      <c r="L68" s="144" t="s">
        <v>10</v>
      </c>
      <c r="N68" s="140" t="s">
        <v>40</v>
      </c>
      <c r="O68" s="155">
        <v>0.80001</v>
      </c>
      <c r="P68" s="142" t="s">
        <v>10</v>
      </c>
      <c r="Q68" s="143" t="s">
        <v>10</v>
      </c>
      <c r="R68" s="143" t="s">
        <v>10</v>
      </c>
      <c r="S68" s="143" t="s">
        <v>10</v>
      </c>
      <c r="T68" s="143" t="s">
        <v>10</v>
      </c>
      <c r="U68" s="143" t="s">
        <v>10</v>
      </c>
      <c r="V68" s="143" t="s">
        <v>10</v>
      </c>
      <c r="W68" s="144" t="s">
        <v>10</v>
      </c>
      <c r="X68" s="144" t="s">
        <v>10</v>
      </c>
      <c r="Y68" s="144" t="s">
        <v>10</v>
      </c>
    </row>
    <row r="69" spans="1:25" ht="13.8">
      <c r="A69" s="140" t="s">
        <v>41</v>
      </c>
      <c r="B69" s="155">
        <v>0.81001000000000001</v>
      </c>
      <c r="C69" s="142" t="s">
        <v>10</v>
      </c>
      <c r="D69" s="143" t="s">
        <v>10</v>
      </c>
      <c r="E69" s="143" t="s">
        <v>10</v>
      </c>
      <c r="F69" s="143" t="s">
        <v>10</v>
      </c>
      <c r="G69" s="143" t="s">
        <v>10</v>
      </c>
      <c r="H69" s="143" t="s">
        <v>10</v>
      </c>
      <c r="I69" s="143" t="s">
        <v>10</v>
      </c>
      <c r="J69" s="144" t="s">
        <v>10</v>
      </c>
      <c r="K69" s="144" t="s">
        <v>10</v>
      </c>
      <c r="L69" s="144" t="s">
        <v>10</v>
      </c>
      <c r="N69" s="140" t="s">
        <v>41</v>
      </c>
      <c r="O69" s="155">
        <v>0.81001000000000001</v>
      </c>
      <c r="P69" s="142" t="s">
        <v>10</v>
      </c>
      <c r="Q69" s="143" t="s">
        <v>10</v>
      </c>
      <c r="R69" s="143" t="s">
        <v>10</v>
      </c>
      <c r="S69" s="143" t="s">
        <v>10</v>
      </c>
      <c r="T69" s="143" t="s">
        <v>10</v>
      </c>
      <c r="U69" s="143" t="s">
        <v>10</v>
      </c>
      <c r="V69" s="143" t="s">
        <v>10</v>
      </c>
      <c r="W69" s="144" t="s">
        <v>10</v>
      </c>
      <c r="X69" s="144" t="s">
        <v>10</v>
      </c>
      <c r="Y69" s="144" t="s">
        <v>10</v>
      </c>
    </row>
    <row r="70" spans="1:25" ht="13.8">
      <c r="A70" s="140" t="s">
        <v>42</v>
      </c>
      <c r="B70" s="155">
        <v>0.82001000000000002</v>
      </c>
      <c r="C70" s="142" t="s">
        <v>10</v>
      </c>
      <c r="D70" s="143" t="s">
        <v>10</v>
      </c>
      <c r="E70" s="143" t="s">
        <v>10</v>
      </c>
      <c r="F70" s="143" t="s">
        <v>10</v>
      </c>
      <c r="G70" s="143" t="s">
        <v>10</v>
      </c>
      <c r="H70" s="143" t="s">
        <v>10</v>
      </c>
      <c r="I70" s="143" t="s">
        <v>10</v>
      </c>
      <c r="J70" s="144" t="s">
        <v>10</v>
      </c>
      <c r="K70" s="144" t="s">
        <v>10</v>
      </c>
      <c r="L70" s="144" t="s">
        <v>10</v>
      </c>
      <c r="N70" s="140" t="s">
        <v>42</v>
      </c>
      <c r="O70" s="155">
        <v>0.82001000000000002</v>
      </c>
      <c r="P70" s="142" t="s">
        <v>10</v>
      </c>
      <c r="Q70" s="143" t="s">
        <v>10</v>
      </c>
      <c r="R70" s="143" t="s">
        <v>10</v>
      </c>
      <c r="S70" s="143" t="s">
        <v>10</v>
      </c>
      <c r="T70" s="143" t="s">
        <v>10</v>
      </c>
      <c r="U70" s="143" t="s">
        <v>10</v>
      </c>
      <c r="V70" s="143" t="s">
        <v>10</v>
      </c>
      <c r="W70" s="144" t="s">
        <v>10</v>
      </c>
      <c r="X70" s="144" t="s">
        <v>10</v>
      </c>
      <c r="Y70" s="144" t="s">
        <v>10</v>
      </c>
    </row>
    <row r="71" spans="1:25" ht="13.8">
      <c r="A71" s="140" t="s">
        <v>43</v>
      </c>
      <c r="B71" s="155">
        <v>0.83001000000000003</v>
      </c>
      <c r="C71" s="142" t="s">
        <v>10</v>
      </c>
      <c r="D71" s="143" t="s">
        <v>10</v>
      </c>
      <c r="E71" s="143" t="s">
        <v>10</v>
      </c>
      <c r="F71" s="143" t="s">
        <v>10</v>
      </c>
      <c r="G71" s="143" t="s">
        <v>10</v>
      </c>
      <c r="H71" s="143" t="s">
        <v>10</v>
      </c>
      <c r="I71" s="143" t="s">
        <v>10</v>
      </c>
      <c r="J71" s="144" t="s">
        <v>10</v>
      </c>
      <c r="K71" s="144" t="s">
        <v>10</v>
      </c>
      <c r="L71" s="144" t="s">
        <v>10</v>
      </c>
      <c r="N71" s="140" t="s">
        <v>43</v>
      </c>
      <c r="O71" s="155">
        <v>0.83001000000000003</v>
      </c>
      <c r="P71" s="142" t="s">
        <v>10</v>
      </c>
      <c r="Q71" s="143" t="s">
        <v>10</v>
      </c>
      <c r="R71" s="143" t="s">
        <v>10</v>
      </c>
      <c r="S71" s="143" t="s">
        <v>10</v>
      </c>
      <c r="T71" s="143" t="s">
        <v>10</v>
      </c>
      <c r="U71" s="143" t="s">
        <v>10</v>
      </c>
      <c r="V71" s="143" t="s">
        <v>10</v>
      </c>
      <c r="W71" s="144" t="s">
        <v>10</v>
      </c>
      <c r="X71" s="144" t="s">
        <v>10</v>
      </c>
      <c r="Y71" s="144" t="s">
        <v>10</v>
      </c>
    </row>
    <row r="72" spans="1:25" ht="13.8">
      <c r="A72" s="140" t="s">
        <v>44</v>
      </c>
      <c r="B72" s="155">
        <v>0.84001000000000003</v>
      </c>
      <c r="C72" s="317" t="s">
        <v>10</v>
      </c>
      <c r="D72" s="318" t="s">
        <v>10</v>
      </c>
      <c r="E72" s="318" t="s">
        <v>10</v>
      </c>
      <c r="F72" s="318" t="s">
        <v>10</v>
      </c>
      <c r="G72" s="143" t="s">
        <v>10</v>
      </c>
      <c r="H72" s="143" t="s">
        <v>10</v>
      </c>
      <c r="I72" s="143" t="s">
        <v>10</v>
      </c>
      <c r="J72" s="144" t="s">
        <v>10</v>
      </c>
      <c r="K72" s="144" t="s">
        <v>10</v>
      </c>
      <c r="L72" s="144" t="s">
        <v>10</v>
      </c>
      <c r="N72" s="140" t="s">
        <v>44</v>
      </c>
      <c r="O72" s="155">
        <v>0.84001000000000003</v>
      </c>
      <c r="P72" s="142" t="s">
        <v>10</v>
      </c>
      <c r="Q72" s="143" t="s">
        <v>10</v>
      </c>
      <c r="R72" s="143" t="s">
        <v>10</v>
      </c>
      <c r="S72" s="143" t="s">
        <v>10</v>
      </c>
      <c r="T72" s="143" t="s">
        <v>10</v>
      </c>
      <c r="U72" s="143" t="s">
        <v>10</v>
      </c>
      <c r="V72" s="143" t="s">
        <v>10</v>
      </c>
      <c r="W72" s="144" t="s">
        <v>10</v>
      </c>
      <c r="X72" s="144" t="s">
        <v>10</v>
      </c>
      <c r="Y72" s="144" t="s">
        <v>10</v>
      </c>
    </row>
    <row r="73" spans="1:25" ht="13.8">
      <c r="A73" s="140" t="s">
        <v>45</v>
      </c>
      <c r="B73" s="315">
        <v>0.85001000000000004</v>
      </c>
      <c r="C73" s="321">
        <v>1.36</v>
      </c>
      <c r="D73" s="321">
        <v>1.77</v>
      </c>
      <c r="E73" s="322">
        <v>2.2999999999999998</v>
      </c>
      <c r="F73" s="322">
        <v>2.2999999999999998</v>
      </c>
      <c r="G73" s="316" t="s">
        <v>10</v>
      </c>
      <c r="H73" s="143" t="s">
        <v>10</v>
      </c>
      <c r="I73" s="143" t="s">
        <v>10</v>
      </c>
      <c r="J73" s="144" t="s">
        <v>10</v>
      </c>
      <c r="K73" s="144" t="s">
        <v>10</v>
      </c>
      <c r="L73" s="144" t="s">
        <v>10</v>
      </c>
      <c r="N73" s="140" t="s">
        <v>45</v>
      </c>
      <c r="O73" s="155">
        <v>0.85001000000000004</v>
      </c>
      <c r="P73" s="214">
        <v>1.29</v>
      </c>
      <c r="Q73" s="215">
        <v>1.67</v>
      </c>
      <c r="R73" s="215">
        <v>2.1800000000000002</v>
      </c>
      <c r="S73" s="215">
        <v>2.1800000000000002</v>
      </c>
      <c r="T73" s="143" t="s">
        <v>10</v>
      </c>
      <c r="U73" s="143" t="s">
        <v>10</v>
      </c>
      <c r="V73" s="143" t="s">
        <v>10</v>
      </c>
      <c r="W73" s="144" t="s">
        <v>10</v>
      </c>
      <c r="X73" s="144" t="s">
        <v>10</v>
      </c>
      <c r="Y73" s="144" t="s">
        <v>10</v>
      </c>
    </row>
    <row r="74" spans="1:25" ht="13.8">
      <c r="A74" s="140" t="s">
        <v>46</v>
      </c>
      <c r="B74" s="315">
        <v>0.86001000000000005</v>
      </c>
      <c r="C74" s="321">
        <v>1.62</v>
      </c>
      <c r="D74" s="321">
        <v>2.11</v>
      </c>
      <c r="E74" s="322">
        <v>2.62</v>
      </c>
      <c r="F74" s="322">
        <v>2.62</v>
      </c>
      <c r="G74" s="316" t="s">
        <v>10</v>
      </c>
      <c r="H74" s="143" t="s">
        <v>10</v>
      </c>
      <c r="I74" s="143" t="s">
        <v>10</v>
      </c>
      <c r="J74" s="144" t="s">
        <v>10</v>
      </c>
      <c r="K74" s="144" t="s">
        <v>10</v>
      </c>
      <c r="L74" s="144" t="s">
        <v>10</v>
      </c>
      <c r="N74" s="140" t="s">
        <v>46</v>
      </c>
      <c r="O74" s="155">
        <v>0.86001000000000005</v>
      </c>
      <c r="P74" s="214">
        <v>1.54</v>
      </c>
      <c r="Q74" s="215">
        <v>2</v>
      </c>
      <c r="R74" s="215">
        <v>2.48</v>
      </c>
      <c r="S74" s="215">
        <v>2.48</v>
      </c>
      <c r="T74" s="143" t="s">
        <v>10</v>
      </c>
      <c r="U74" s="143" t="s">
        <v>10</v>
      </c>
      <c r="V74" s="143" t="s">
        <v>10</v>
      </c>
      <c r="W74" s="144" t="s">
        <v>10</v>
      </c>
      <c r="X74" s="144" t="s">
        <v>10</v>
      </c>
      <c r="Y74" s="144" t="s">
        <v>10</v>
      </c>
    </row>
    <row r="75" spans="1:25" ht="13.8">
      <c r="A75" s="140" t="s">
        <v>47</v>
      </c>
      <c r="B75" s="315">
        <v>0.87000999999999995</v>
      </c>
      <c r="C75" s="321">
        <v>1.62</v>
      </c>
      <c r="D75" s="321">
        <v>2.11</v>
      </c>
      <c r="E75" s="322">
        <v>2.75</v>
      </c>
      <c r="F75" s="322">
        <v>2.75</v>
      </c>
      <c r="G75" s="316" t="s">
        <v>10</v>
      </c>
      <c r="H75" s="143" t="s">
        <v>10</v>
      </c>
      <c r="I75" s="143" t="s">
        <v>10</v>
      </c>
      <c r="J75" s="144" t="s">
        <v>10</v>
      </c>
      <c r="K75" s="144" t="s">
        <v>10</v>
      </c>
      <c r="L75" s="144" t="s">
        <v>10</v>
      </c>
      <c r="N75" s="140" t="s">
        <v>47</v>
      </c>
      <c r="O75" s="155">
        <v>0.87000999999999995</v>
      </c>
      <c r="P75" s="214">
        <v>1.54</v>
      </c>
      <c r="Q75" s="215">
        <v>2</v>
      </c>
      <c r="R75" s="215">
        <v>2.6</v>
      </c>
      <c r="S75" s="215">
        <v>2.6</v>
      </c>
      <c r="T75" s="143" t="s">
        <v>10</v>
      </c>
      <c r="U75" s="143" t="s">
        <v>10</v>
      </c>
      <c r="V75" s="143" t="s">
        <v>10</v>
      </c>
      <c r="W75" s="144" t="s">
        <v>10</v>
      </c>
      <c r="X75" s="144" t="s">
        <v>10</v>
      </c>
      <c r="Y75" s="144" t="s">
        <v>10</v>
      </c>
    </row>
    <row r="76" spans="1:25" ht="13.8">
      <c r="A76" s="140" t="s">
        <v>48</v>
      </c>
      <c r="B76" s="315">
        <v>0.88000999999999996</v>
      </c>
      <c r="C76" s="321">
        <v>1.9</v>
      </c>
      <c r="D76" s="321">
        <v>2.46</v>
      </c>
      <c r="E76" s="322">
        <v>3.05</v>
      </c>
      <c r="F76" s="322">
        <v>3.05</v>
      </c>
      <c r="G76" s="316" t="s">
        <v>10</v>
      </c>
      <c r="H76" s="143" t="s">
        <v>10</v>
      </c>
      <c r="I76" s="143" t="s">
        <v>10</v>
      </c>
      <c r="J76" s="144" t="s">
        <v>10</v>
      </c>
      <c r="K76" s="144" t="s">
        <v>10</v>
      </c>
      <c r="L76" s="144" t="s">
        <v>10</v>
      </c>
      <c r="N76" s="140" t="s">
        <v>48</v>
      </c>
      <c r="O76" s="155">
        <v>0.88000999999999996</v>
      </c>
      <c r="P76" s="214">
        <v>1.8</v>
      </c>
      <c r="Q76" s="215">
        <v>2.33</v>
      </c>
      <c r="R76" s="215">
        <v>2.89</v>
      </c>
      <c r="S76" s="215">
        <v>2.89</v>
      </c>
      <c r="T76" s="143" t="s">
        <v>10</v>
      </c>
      <c r="U76" s="143" t="s">
        <v>10</v>
      </c>
      <c r="V76" s="143" t="s">
        <v>10</v>
      </c>
      <c r="W76" s="144" t="s">
        <v>10</v>
      </c>
      <c r="X76" s="144" t="s">
        <v>10</v>
      </c>
      <c r="Y76" s="144" t="s">
        <v>10</v>
      </c>
    </row>
    <row r="77" spans="1:25" ht="13.8">
      <c r="A77" s="140" t="s">
        <v>49</v>
      </c>
      <c r="B77" s="315">
        <v>0.89000999999999997</v>
      </c>
      <c r="C77" s="321">
        <v>1.95</v>
      </c>
      <c r="D77" s="321">
        <v>2.54</v>
      </c>
      <c r="E77" s="322">
        <v>3.23</v>
      </c>
      <c r="F77" s="322">
        <v>3.23</v>
      </c>
      <c r="G77" s="316" t="s">
        <v>10</v>
      </c>
      <c r="H77" s="143" t="s">
        <v>10</v>
      </c>
      <c r="I77" s="143" t="s">
        <v>10</v>
      </c>
      <c r="J77" s="144" t="s">
        <v>10</v>
      </c>
      <c r="K77" s="144" t="s">
        <v>10</v>
      </c>
      <c r="L77" s="144" t="s">
        <v>10</v>
      </c>
      <c r="N77" s="140" t="s">
        <v>49</v>
      </c>
      <c r="O77" s="155">
        <v>0.89000999999999997</v>
      </c>
      <c r="P77" s="214">
        <v>1.85</v>
      </c>
      <c r="Q77" s="215">
        <v>2.4</v>
      </c>
      <c r="R77" s="215">
        <v>3.06</v>
      </c>
      <c r="S77" s="215">
        <v>3.06</v>
      </c>
      <c r="T77" s="143" t="s">
        <v>10</v>
      </c>
      <c r="U77" s="143" t="s">
        <v>10</v>
      </c>
      <c r="V77" s="143" t="s">
        <v>10</v>
      </c>
      <c r="W77" s="144" t="s">
        <v>10</v>
      </c>
      <c r="X77" s="144" t="s">
        <v>10</v>
      </c>
      <c r="Y77" s="144" t="s">
        <v>10</v>
      </c>
    </row>
    <row r="78" spans="1:25" ht="13.8">
      <c r="A78" s="140" t="s">
        <v>50</v>
      </c>
      <c r="B78" s="315">
        <v>0.90000999999999998</v>
      </c>
      <c r="C78" s="321">
        <v>3.05</v>
      </c>
      <c r="D78" s="321">
        <v>3.97</v>
      </c>
      <c r="E78" s="322">
        <v>5.85</v>
      </c>
      <c r="F78" s="322">
        <v>5.85</v>
      </c>
      <c r="G78" s="316" t="s">
        <v>10</v>
      </c>
      <c r="H78" s="143" t="s">
        <v>10</v>
      </c>
      <c r="I78" s="143" t="s">
        <v>10</v>
      </c>
      <c r="J78" s="144" t="s">
        <v>10</v>
      </c>
      <c r="K78" s="144" t="s">
        <v>10</v>
      </c>
      <c r="L78" s="144" t="s">
        <v>10</v>
      </c>
      <c r="N78" s="140" t="s">
        <v>50</v>
      </c>
      <c r="O78" s="155">
        <v>0.90000999999999998</v>
      </c>
      <c r="P78" s="214">
        <v>2.89</v>
      </c>
      <c r="Q78" s="215">
        <v>3.76</v>
      </c>
      <c r="R78" s="215">
        <v>5.54</v>
      </c>
      <c r="S78" s="215">
        <v>5.54</v>
      </c>
      <c r="T78" s="143" t="s">
        <v>10</v>
      </c>
      <c r="U78" s="143" t="s">
        <v>10</v>
      </c>
      <c r="V78" s="143" t="s">
        <v>10</v>
      </c>
      <c r="W78" s="144" t="s">
        <v>10</v>
      </c>
      <c r="X78" s="144" t="s">
        <v>10</v>
      </c>
      <c r="Y78" s="144" t="s">
        <v>10</v>
      </c>
    </row>
    <row r="79" spans="1:25" ht="13.8">
      <c r="A79" s="140" t="s">
        <v>51</v>
      </c>
      <c r="B79" s="315">
        <v>0.91000999999999999</v>
      </c>
      <c r="C79" s="321">
        <v>3.05</v>
      </c>
      <c r="D79" s="321">
        <v>3.97</v>
      </c>
      <c r="E79" s="322">
        <v>6.09</v>
      </c>
      <c r="F79" s="322">
        <v>6.09</v>
      </c>
      <c r="G79" s="316" t="s">
        <v>10</v>
      </c>
      <c r="H79" s="143" t="s">
        <v>10</v>
      </c>
      <c r="I79" s="143" t="s">
        <v>10</v>
      </c>
      <c r="J79" s="144" t="s">
        <v>10</v>
      </c>
      <c r="K79" s="144" t="s">
        <v>10</v>
      </c>
      <c r="L79" s="144" t="s">
        <v>10</v>
      </c>
      <c r="N79" s="140" t="s">
        <v>51</v>
      </c>
      <c r="O79" s="155">
        <v>0.91000999999999999</v>
      </c>
      <c r="P79" s="214">
        <v>2.89</v>
      </c>
      <c r="Q79" s="215">
        <v>3.76</v>
      </c>
      <c r="R79" s="215">
        <v>5.77</v>
      </c>
      <c r="S79" s="215">
        <v>5.77</v>
      </c>
      <c r="T79" s="143" t="s">
        <v>10</v>
      </c>
      <c r="U79" s="143" t="s">
        <v>10</v>
      </c>
      <c r="V79" s="143" t="s">
        <v>10</v>
      </c>
      <c r="W79" s="144" t="s">
        <v>10</v>
      </c>
      <c r="X79" s="144" t="s">
        <v>10</v>
      </c>
      <c r="Y79" s="144" t="s">
        <v>10</v>
      </c>
    </row>
    <row r="80" spans="1:25" ht="13.8">
      <c r="A80" s="140" t="s">
        <v>52</v>
      </c>
      <c r="B80" s="315">
        <v>0.92000999999999999</v>
      </c>
      <c r="C80" s="321">
        <v>3.42</v>
      </c>
      <c r="D80" s="321">
        <v>4.47</v>
      </c>
      <c r="E80" s="322">
        <v>6.34</v>
      </c>
      <c r="F80" s="322">
        <v>6.34</v>
      </c>
      <c r="G80" s="316" t="s">
        <v>10</v>
      </c>
      <c r="H80" s="143" t="s">
        <v>10</v>
      </c>
      <c r="I80" s="143" t="s">
        <v>10</v>
      </c>
      <c r="J80" s="144" t="s">
        <v>10</v>
      </c>
      <c r="K80" s="144" t="s">
        <v>10</v>
      </c>
      <c r="L80" s="144" t="s">
        <v>10</v>
      </c>
      <c r="N80" s="140" t="s">
        <v>52</v>
      </c>
      <c r="O80" s="155">
        <v>0.92000999999999999</v>
      </c>
      <c r="P80" s="214">
        <v>3.24</v>
      </c>
      <c r="Q80" s="215">
        <v>4.2300000000000004</v>
      </c>
      <c r="R80" s="215">
        <v>6</v>
      </c>
      <c r="S80" s="215">
        <v>6</v>
      </c>
      <c r="T80" s="143" t="s">
        <v>10</v>
      </c>
      <c r="U80" s="143" t="s">
        <v>10</v>
      </c>
      <c r="V80" s="143" t="s">
        <v>10</v>
      </c>
      <c r="W80" s="144" t="s">
        <v>10</v>
      </c>
      <c r="X80" s="144" t="s">
        <v>10</v>
      </c>
      <c r="Y80" s="144" t="s">
        <v>10</v>
      </c>
    </row>
    <row r="81" spans="1:25" ht="13.8">
      <c r="A81" s="140" t="s">
        <v>53</v>
      </c>
      <c r="B81" s="315">
        <v>0.93001</v>
      </c>
      <c r="C81" s="321">
        <v>3.42</v>
      </c>
      <c r="D81" s="321">
        <v>4.47</v>
      </c>
      <c r="E81" s="322">
        <v>6.55</v>
      </c>
      <c r="F81" s="322">
        <v>6.55</v>
      </c>
      <c r="G81" s="316" t="s">
        <v>10</v>
      </c>
      <c r="H81" s="143" t="s">
        <v>10</v>
      </c>
      <c r="I81" s="143" t="s">
        <v>10</v>
      </c>
      <c r="J81" s="144" t="s">
        <v>10</v>
      </c>
      <c r="K81" s="144" t="s">
        <v>10</v>
      </c>
      <c r="L81" s="144" t="s">
        <v>10</v>
      </c>
      <c r="N81" s="140" t="s">
        <v>53</v>
      </c>
      <c r="O81" s="155">
        <v>0.93001</v>
      </c>
      <c r="P81" s="214">
        <v>3.24</v>
      </c>
      <c r="Q81" s="215">
        <v>4.2300000000000004</v>
      </c>
      <c r="R81" s="215">
        <v>6.2</v>
      </c>
      <c r="S81" s="215">
        <v>6.2</v>
      </c>
      <c r="T81" s="143" t="s">
        <v>10</v>
      </c>
      <c r="U81" s="143" t="s">
        <v>10</v>
      </c>
      <c r="V81" s="143" t="s">
        <v>10</v>
      </c>
      <c r="W81" s="144" t="s">
        <v>10</v>
      </c>
      <c r="X81" s="144" t="s">
        <v>10</v>
      </c>
      <c r="Y81" s="144" t="s">
        <v>10</v>
      </c>
    </row>
    <row r="82" spans="1:25" ht="13.8">
      <c r="A82" s="140" t="s">
        <v>54</v>
      </c>
      <c r="B82" s="315">
        <v>0.94001000000000001</v>
      </c>
      <c r="C82" s="321">
        <v>3.78</v>
      </c>
      <c r="D82" s="321">
        <v>4.95</v>
      </c>
      <c r="E82" s="322">
        <v>6.8</v>
      </c>
      <c r="F82" s="322">
        <v>6.8</v>
      </c>
      <c r="G82" s="316" t="s">
        <v>10</v>
      </c>
      <c r="H82" s="143" t="s">
        <v>10</v>
      </c>
      <c r="I82" s="143" t="s">
        <v>10</v>
      </c>
      <c r="J82" s="144" t="s">
        <v>10</v>
      </c>
      <c r="K82" s="144" t="s">
        <v>10</v>
      </c>
      <c r="L82" s="144" t="s">
        <v>10</v>
      </c>
      <c r="N82" s="140" t="s">
        <v>54</v>
      </c>
      <c r="O82" s="155">
        <v>0.94001000000000001</v>
      </c>
      <c r="P82" s="214">
        <v>3.58</v>
      </c>
      <c r="Q82" s="215">
        <v>4.6900000000000004</v>
      </c>
      <c r="R82" s="215">
        <v>6.44</v>
      </c>
      <c r="S82" s="215">
        <v>6.44</v>
      </c>
      <c r="T82" s="143" t="s">
        <v>10</v>
      </c>
      <c r="U82" s="143" t="s">
        <v>10</v>
      </c>
      <c r="V82" s="143" t="s">
        <v>10</v>
      </c>
      <c r="W82" s="144" t="s">
        <v>10</v>
      </c>
      <c r="X82" s="144" t="s">
        <v>10</v>
      </c>
      <c r="Y82" s="144" t="s">
        <v>10</v>
      </c>
    </row>
    <row r="83" spans="1:25" ht="13.8">
      <c r="A83" s="140" t="s">
        <v>57</v>
      </c>
      <c r="B83" s="155">
        <v>0.95001000000000002</v>
      </c>
      <c r="C83" s="319" t="s">
        <v>10</v>
      </c>
      <c r="D83" s="320" t="s">
        <v>10</v>
      </c>
      <c r="E83" s="320" t="s">
        <v>10</v>
      </c>
      <c r="F83" s="320" t="s">
        <v>10</v>
      </c>
      <c r="G83" s="143" t="s">
        <v>10</v>
      </c>
      <c r="H83" s="143" t="s">
        <v>10</v>
      </c>
      <c r="I83" s="143" t="s">
        <v>10</v>
      </c>
      <c r="J83" s="144" t="s">
        <v>10</v>
      </c>
      <c r="K83" s="144" t="s">
        <v>10</v>
      </c>
      <c r="L83" s="144" t="s">
        <v>10</v>
      </c>
      <c r="N83" s="140" t="s">
        <v>57</v>
      </c>
      <c r="O83" s="155">
        <v>0.95001000000000002</v>
      </c>
      <c r="P83" s="142" t="s">
        <v>10</v>
      </c>
      <c r="Q83" s="143" t="s">
        <v>10</v>
      </c>
      <c r="R83" s="143" t="s">
        <v>10</v>
      </c>
      <c r="S83" s="143" t="s">
        <v>10</v>
      </c>
      <c r="T83" s="143" t="s">
        <v>10</v>
      </c>
      <c r="U83" s="143" t="s">
        <v>10</v>
      </c>
      <c r="V83" s="143" t="s">
        <v>10</v>
      </c>
      <c r="W83" s="144" t="s">
        <v>10</v>
      </c>
      <c r="X83" s="144" t="s">
        <v>10</v>
      </c>
      <c r="Y83" s="144" t="s">
        <v>10</v>
      </c>
    </row>
    <row r="84" spans="1:25" ht="13.8">
      <c r="A84" s="140" t="s">
        <v>58</v>
      </c>
      <c r="B84" s="155">
        <v>0.96001000000000003</v>
      </c>
      <c r="C84" s="142" t="s">
        <v>10</v>
      </c>
      <c r="D84" s="143" t="s">
        <v>10</v>
      </c>
      <c r="E84" s="143" t="s">
        <v>10</v>
      </c>
      <c r="F84" s="143" t="s">
        <v>10</v>
      </c>
      <c r="G84" s="143" t="s">
        <v>10</v>
      </c>
      <c r="H84" s="143" t="s">
        <v>10</v>
      </c>
      <c r="I84" s="143" t="s">
        <v>10</v>
      </c>
      <c r="J84" s="144" t="s">
        <v>10</v>
      </c>
      <c r="K84" s="144" t="s">
        <v>10</v>
      </c>
      <c r="L84" s="144" t="s">
        <v>10</v>
      </c>
      <c r="N84" s="140" t="s">
        <v>58</v>
      </c>
      <c r="O84" s="155">
        <v>0.96001000000000003</v>
      </c>
      <c r="P84" s="142" t="s">
        <v>10</v>
      </c>
      <c r="Q84" s="143" t="s">
        <v>10</v>
      </c>
      <c r="R84" s="143" t="s">
        <v>10</v>
      </c>
      <c r="S84" s="143" t="s">
        <v>10</v>
      </c>
      <c r="T84" s="143" t="s">
        <v>10</v>
      </c>
      <c r="U84" s="143" t="s">
        <v>10</v>
      </c>
      <c r="V84" s="143" t="s">
        <v>10</v>
      </c>
      <c r="W84" s="144" t="s">
        <v>10</v>
      </c>
      <c r="X84" s="144" t="s">
        <v>10</v>
      </c>
      <c r="Y84" s="144" t="s">
        <v>10</v>
      </c>
    </row>
    <row r="85" spans="1:25" ht="13.8">
      <c r="A85" s="140" t="s">
        <v>59</v>
      </c>
      <c r="B85" s="155">
        <v>0.97001000000000004</v>
      </c>
      <c r="C85" s="142" t="s">
        <v>10</v>
      </c>
      <c r="D85" s="143" t="s">
        <v>10</v>
      </c>
      <c r="E85" s="143" t="s">
        <v>10</v>
      </c>
      <c r="F85" s="143" t="s">
        <v>10</v>
      </c>
      <c r="G85" s="143" t="s">
        <v>10</v>
      </c>
      <c r="H85" s="143" t="s">
        <v>10</v>
      </c>
      <c r="I85" s="143" t="s">
        <v>10</v>
      </c>
      <c r="J85" s="144" t="s">
        <v>10</v>
      </c>
      <c r="K85" s="144" t="s">
        <v>10</v>
      </c>
      <c r="L85" s="144" t="s">
        <v>10</v>
      </c>
      <c r="N85" s="140" t="s">
        <v>59</v>
      </c>
      <c r="O85" s="155">
        <v>0.97001000000000004</v>
      </c>
      <c r="P85" s="142" t="s">
        <v>10</v>
      </c>
      <c r="Q85" s="143" t="s">
        <v>10</v>
      </c>
      <c r="R85" s="143" t="s">
        <v>10</v>
      </c>
      <c r="S85" s="143" t="s">
        <v>10</v>
      </c>
      <c r="T85" s="143" t="s">
        <v>10</v>
      </c>
      <c r="U85" s="143" t="s">
        <v>10</v>
      </c>
      <c r="V85" s="143" t="s">
        <v>10</v>
      </c>
      <c r="W85" s="144" t="s">
        <v>10</v>
      </c>
      <c r="X85" s="144" t="s">
        <v>10</v>
      </c>
      <c r="Y85" s="144" t="s">
        <v>10</v>
      </c>
    </row>
    <row r="86" spans="1:25" ht="13.8">
      <c r="A86" s="140" t="s">
        <v>60</v>
      </c>
      <c r="B86" s="155">
        <v>0.98001000000000005</v>
      </c>
      <c r="C86" s="142" t="s">
        <v>10</v>
      </c>
      <c r="D86" s="143" t="s">
        <v>10</v>
      </c>
      <c r="E86" s="143" t="s">
        <v>10</v>
      </c>
      <c r="F86" s="143" t="s">
        <v>10</v>
      </c>
      <c r="G86" s="143" t="s">
        <v>10</v>
      </c>
      <c r="H86" s="143" t="s">
        <v>10</v>
      </c>
      <c r="I86" s="143" t="s">
        <v>10</v>
      </c>
      <c r="J86" s="144" t="s">
        <v>10</v>
      </c>
      <c r="K86" s="144" t="s">
        <v>10</v>
      </c>
      <c r="L86" s="144" t="s">
        <v>10</v>
      </c>
      <c r="N86" s="140" t="s">
        <v>60</v>
      </c>
      <c r="O86" s="155">
        <v>0.98001000000000005</v>
      </c>
      <c r="P86" s="142" t="s">
        <v>10</v>
      </c>
      <c r="Q86" s="143" t="s">
        <v>10</v>
      </c>
      <c r="R86" s="143" t="s">
        <v>10</v>
      </c>
      <c r="S86" s="143" t="s">
        <v>10</v>
      </c>
      <c r="T86" s="143" t="s">
        <v>10</v>
      </c>
      <c r="U86" s="143" t="s">
        <v>10</v>
      </c>
      <c r="V86" s="143" t="s">
        <v>10</v>
      </c>
      <c r="W86" s="144" t="s">
        <v>10</v>
      </c>
      <c r="X86" s="144" t="s">
        <v>10</v>
      </c>
      <c r="Y86" s="144" t="s">
        <v>10</v>
      </c>
    </row>
    <row r="87" spans="1:25" ht="13.8">
      <c r="A87" s="141" t="s">
        <v>61</v>
      </c>
      <c r="B87" s="155">
        <v>0.99000999999999995</v>
      </c>
      <c r="C87" s="145" t="s">
        <v>10</v>
      </c>
      <c r="D87" s="146" t="s">
        <v>10</v>
      </c>
      <c r="E87" s="146" t="s">
        <v>10</v>
      </c>
      <c r="F87" s="146" t="s">
        <v>10</v>
      </c>
      <c r="G87" s="146" t="s">
        <v>10</v>
      </c>
      <c r="H87" s="146" t="s">
        <v>10</v>
      </c>
      <c r="I87" s="146" t="s">
        <v>10</v>
      </c>
      <c r="J87" s="147" t="s">
        <v>10</v>
      </c>
      <c r="K87" s="147" t="s">
        <v>10</v>
      </c>
      <c r="L87" s="147" t="s">
        <v>10</v>
      </c>
      <c r="N87" s="141" t="s">
        <v>61</v>
      </c>
      <c r="O87" s="155">
        <v>0.99000999999999995</v>
      </c>
      <c r="P87" s="145" t="s">
        <v>10</v>
      </c>
      <c r="Q87" s="146" t="s">
        <v>10</v>
      </c>
      <c r="R87" s="146" t="s">
        <v>10</v>
      </c>
      <c r="S87" s="146" t="s">
        <v>10</v>
      </c>
      <c r="T87" s="146" t="s">
        <v>10</v>
      </c>
      <c r="U87" s="146" t="s">
        <v>10</v>
      </c>
      <c r="V87" s="146" t="s">
        <v>10</v>
      </c>
      <c r="W87" s="147" t="s">
        <v>10</v>
      </c>
      <c r="X87" s="147" t="s">
        <v>10</v>
      </c>
      <c r="Y87" s="147" t="s">
        <v>10</v>
      </c>
    </row>
    <row r="88" spans="1:25" ht="13.8">
      <c r="A88" s="129"/>
      <c r="B88" s="130"/>
      <c r="C88" s="385" t="s">
        <v>187</v>
      </c>
      <c r="D88" s="386"/>
      <c r="E88" s="386"/>
      <c r="F88" s="386"/>
      <c r="G88" s="386"/>
      <c r="H88" s="386"/>
      <c r="I88" s="386"/>
      <c r="J88" s="386"/>
      <c r="K88" s="386"/>
      <c r="L88" s="387"/>
      <c r="N88" s="129"/>
      <c r="O88" s="130"/>
      <c r="P88" s="385" t="s">
        <v>187</v>
      </c>
      <c r="Q88" s="386"/>
      <c r="R88" s="386"/>
      <c r="S88" s="386"/>
      <c r="T88" s="386"/>
      <c r="U88" s="386"/>
      <c r="V88" s="386"/>
      <c r="W88" s="386"/>
      <c r="X88" s="386"/>
      <c r="Y88" s="387"/>
    </row>
    <row r="91" spans="1:25" ht="39.6">
      <c r="A91" s="132" t="s">
        <v>19</v>
      </c>
      <c r="B91" s="133"/>
      <c r="C91" s="134" t="s">
        <v>55</v>
      </c>
      <c r="D91" s="135" t="s">
        <v>56</v>
      </c>
      <c r="E91" s="135" t="s">
        <v>108</v>
      </c>
      <c r="F91" s="135" t="s">
        <v>109</v>
      </c>
      <c r="G91" s="135" t="s">
        <v>135</v>
      </c>
      <c r="H91" s="135" t="s">
        <v>136</v>
      </c>
      <c r="I91" s="136" t="s">
        <v>137</v>
      </c>
      <c r="J91" s="136" t="s">
        <v>138</v>
      </c>
      <c r="K91" s="136" t="s">
        <v>191</v>
      </c>
      <c r="L91" s="136" t="s">
        <v>192</v>
      </c>
      <c r="N91" s="132" t="s">
        <v>142</v>
      </c>
      <c r="O91" s="133"/>
      <c r="P91" s="134" t="s">
        <v>55</v>
      </c>
      <c r="Q91" s="135" t="s">
        <v>56</v>
      </c>
      <c r="R91" s="135" t="s">
        <v>108</v>
      </c>
      <c r="S91" s="135" t="s">
        <v>109</v>
      </c>
      <c r="T91" s="135" t="s">
        <v>135</v>
      </c>
      <c r="U91" s="135" t="s">
        <v>136</v>
      </c>
      <c r="V91" s="136" t="s">
        <v>137</v>
      </c>
      <c r="W91" s="136" t="s">
        <v>138</v>
      </c>
      <c r="X91" s="136" t="s">
        <v>191</v>
      </c>
      <c r="Y91" s="136" t="s">
        <v>192</v>
      </c>
    </row>
    <row r="92" spans="1:25" ht="8.25" customHeight="1">
      <c r="A92" s="137"/>
      <c r="B92" s="131"/>
      <c r="C92" s="148">
        <v>0</v>
      </c>
      <c r="D92" s="149">
        <v>300001</v>
      </c>
      <c r="E92" s="149">
        <v>500001</v>
      </c>
      <c r="F92" s="149">
        <v>600001</v>
      </c>
      <c r="G92" s="149">
        <v>750001</v>
      </c>
      <c r="H92" s="149">
        <v>1000001</v>
      </c>
      <c r="I92" s="149">
        <v>1500001</v>
      </c>
      <c r="J92" s="150">
        <v>2000001</v>
      </c>
      <c r="K92" s="150">
        <v>2500001</v>
      </c>
      <c r="L92" s="150">
        <v>3000001</v>
      </c>
      <c r="N92" s="137"/>
      <c r="O92" s="131"/>
      <c r="P92" s="148">
        <v>0</v>
      </c>
      <c r="Q92" s="149">
        <v>300001</v>
      </c>
      <c r="R92" s="149">
        <v>500001</v>
      </c>
      <c r="S92" s="149">
        <v>600001</v>
      </c>
      <c r="T92" s="149">
        <v>750001</v>
      </c>
      <c r="U92" s="149">
        <v>1000001</v>
      </c>
      <c r="V92" s="149">
        <v>1500001</v>
      </c>
      <c r="W92" s="150">
        <v>2000001</v>
      </c>
      <c r="X92" s="150">
        <v>2500001</v>
      </c>
      <c r="Y92" s="150">
        <v>3000001</v>
      </c>
    </row>
    <row r="93" spans="1:25" ht="13.8">
      <c r="A93" s="138" t="s">
        <v>35</v>
      </c>
      <c r="B93" s="106">
        <v>1.0000000000000001E-5</v>
      </c>
      <c r="C93" s="142" t="s">
        <v>10</v>
      </c>
      <c r="D93" s="143" t="s">
        <v>10</v>
      </c>
      <c r="E93" s="143" t="s">
        <v>10</v>
      </c>
      <c r="F93" s="143" t="s">
        <v>10</v>
      </c>
      <c r="G93" s="143" t="s">
        <v>10</v>
      </c>
      <c r="H93" s="143" t="s">
        <v>10</v>
      </c>
      <c r="I93" s="143" t="s">
        <v>10</v>
      </c>
      <c r="J93" s="144" t="s">
        <v>10</v>
      </c>
      <c r="K93" s="144" t="s">
        <v>10</v>
      </c>
      <c r="L93" s="144" t="s">
        <v>10</v>
      </c>
      <c r="N93" s="138" t="s">
        <v>35</v>
      </c>
      <c r="O93" s="106">
        <v>1.0000000000000001E-5</v>
      </c>
      <c r="P93" s="142" t="s">
        <v>10</v>
      </c>
      <c r="Q93" s="143" t="s">
        <v>10</v>
      </c>
      <c r="R93" s="143" t="s">
        <v>10</v>
      </c>
      <c r="S93" s="143" t="s">
        <v>10</v>
      </c>
      <c r="T93" s="143" t="s">
        <v>10</v>
      </c>
      <c r="U93" s="143" t="s">
        <v>10</v>
      </c>
      <c r="V93" s="143" t="s">
        <v>10</v>
      </c>
      <c r="W93" s="144" t="s">
        <v>10</v>
      </c>
      <c r="X93" s="144" t="s">
        <v>10</v>
      </c>
      <c r="Y93" s="144" t="s">
        <v>10</v>
      </c>
    </row>
    <row r="94" spans="1:25" ht="13.8">
      <c r="A94" s="139" t="s">
        <v>36</v>
      </c>
      <c r="B94" s="106">
        <v>0.60001000000000004</v>
      </c>
      <c r="C94" s="142" t="s">
        <v>10</v>
      </c>
      <c r="D94" s="143" t="s">
        <v>10</v>
      </c>
      <c r="E94" s="143" t="s">
        <v>10</v>
      </c>
      <c r="F94" s="143" t="s">
        <v>10</v>
      </c>
      <c r="G94" s="143" t="s">
        <v>10</v>
      </c>
      <c r="H94" s="143" t="s">
        <v>10</v>
      </c>
      <c r="I94" s="143" t="s">
        <v>10</v>
      </c>
      <c r="J94" s="144" t="s">
        <v>10</v>
      </c>
      <c r="K94" s="144" t="s">
        <v>10</v>
      </c>
      <c r="L94" s="144" t="s">
        <v>10</v>
      </c>
      <c r="N94" s="139" t="s">
        <v>36</v>
      </c>
      <c r="O94" s="106">
        <v>0.60001000000000004</v>
      </c>
      <c r="P94" s="142" t="s">
        <v>10</v>
      </c>
      <c r="Q94" s="143" t="s">
        <v>10</v>
      </c>
      <c r="R94" s="143" t="s">
        <v>10</v>
      </c>
      <c r="S94" s="143" t="s">
        <v>10</v>
      </c>
      <c r="T94" s="143" t="s">
        <v>10</v>
      </c>
      <c r="U94" s="143" t="s">
        <v>10</v>
      </c>
      <c r="V94" s="143" t="s">
        <v>10</v>
      </c>
      <c r="W94" s="144" t="s">
        <v>10</v>
      </c>
      <c r="X94" s="144" t="s">
        <v>10</v>
      </c>
      <c r="Y94" s="144" t="s">
        <v>10</v>
      </c>
    </row>
    <row r="95" spans="1:25" ht="13.8">
      <c r="A95" s="139" t="s">
        <v>37</v>
      </c>
      <c r="B95" s="106">
        <v>0.65000999999999998</v>
      </c>
      <c r="C95" s="142" t="s">
        <v>10</v>
      </c>
      <c r="D95" s="143" t="s">
        <v>10</v>
      </c>
      <c r="E95" s="143" t="s">
        <v>10</v>
      </c>
      <c r="F95" s="143" t="s">
        <v>10</v>
      </c>
      <c r="G95" s="143" t="s">
        <v>10</v>
      </c>
      <c r="H95" s="143" t="s">
        <v>10</v>
      </c>
      <c r="I95" s="143" t="s">
        <v>10</v>
      </c>
      <c r="J95" s="144" t="s">
        <v>10</v>
      </c>
      <c r="K95" s="144" t="s">
        <v>10</v>
      </c>
      <c r="L95" s="144" t="s">
        <v>10</v>
      </c>
      <c r="N95" s="139" t="s">
        <v>37</v>
      </c>
      <c r="O95" s="106">
        <v>0.65000999999999998</v>
      </c>
      <c r="P95" s="142" t="s">
        <v>10</v>
      </c>
      <c r="Q95" s="143" t="s">
        <v>10</v>
      </c>
      <c r="R95" s="143" t="s">
        <v>10</v>
      </c>
      <c r="S95" s="143" t="s">
        <v>10</v>
      </c>
      <c r="T95" s="143" t="s">
        <v>10</v>
      </c>
      <c r="U95" s="143" t="s">
        <v>10</v>
      </c>
      <c r="V95" s="143" t="s">
        <v>10</v>
      </c>
      <c r="W95" s="144" t="s">
        <v>10</v>
      </c>
      <c r="X95" s="144" t="s">
        <v>10</v>
      </c>
      <c r="Y95" s="144" t="s">
        <v>10</v>
      </c>
    </row>
    <row r="96" spans="1:25" ht="13.8">
      <c r="A96" s="139" t="s">
        <v>38</v>
      </c>
      <c r="B96" s="106">
        <v>0.70001000000000002</v>
      </c>
      <c r="C96" s="142" t="s">
        <v>10</v>
      </c>
      <c r="D96" s="143" t="s">
        <v>10</v>
      </c>
      <c r="E96" s="143" t="s">
        <v>10</v>
      </c>
      <c r="F96" s="143" t="s">
        <v>10</v>
      </c>
      <c r="G96" s="143" t="s">
        <v>10</v>
      </c>
      <c r="H96" s="143" t="s">
        <v>10</v>
      </c>
      <c r="I96" s="143" t="s">
        <v>10</v>
      </c>
      <c r="J96" s="144" t="s">
        <v>10</v>
      </c>
      <c r="K96" s="144" t="s">
        <v>10</v>
      </c>
      <c r="L96" s="144" t="s">
        <v>10</v>
      </c>
      <c r="N96" s="139" t="s">
        <v>38</v>
      </c>
      <c r="O96" s="106">
        <v>0.70001000000000002</v>
      </c>
      <c r="P96" s="142" t="s">
        <v>10</v>
      </c>
      <c r="Q96" s="143" t="s">
        <v>10</v>
      </c>
      <c r="R96" s="143" t="s">
        <v>10</v>
      </c>
      <c r="S96" s="143" t="s">
        <v>10</v>
      </c>
      <c r="T96" s="143" t="s">
        <v>10</v>
      </c>
      <c r="U96" s="143" t="s">
        <v>10</v>
      </c>
      <c r="V96" s="143" t="s">
        <v>10</v>
      </c>
      <c r="W96" s="144" t="s">
        <v>10</v>
      </c>
      <c r="X96" s="144" t="s">
        <v>10</v>
      </c>
      <c r="Y96" s="144" t="s">
        <v>10</v>
      </c>
    </row>
    <row r="97" spans="1:25" ht="13.8">
      <c r="A97" s="139" t="s">
        <v>39</v>
      </c>
      <c r="B97" s="106">
        <v>0.75000999999999995</v>
      </c>
      <c r="C97" s="142" t="s">
        <v>10</v>
      </c>
      <c r="D97" s="143" t="s">
        <v>10</v>
      </c>
      <c r="E97" s="143" t="s">
        <v>10</v>
      </c>
      <c r="F97" s="143" t="s">
        <v>10</v>
      </c>
      <c r="G97" s="143" t="s">
        <v>10</v>
      </c>
      <c r="H97" s="143" t="s">
        <v>10</v>
      </c>
      <c r="I97" s="143" t="s">
        <v>10</v>
      </c>
      <c r="J97" s="144" t="s">
        <v>10</v>
      </c>
      <c r="K97" s="144" t="s">
        <v>10</v>
      </c>
      <c r="L97" s="144" t="s">
        <v>10</v>
      </c>
      <c r="N97" s="139" t="s">
        <v>39</v>
      </c>
      <c r="O97" s="106">
        <v>0.75000999999999995</v>
      </c>
      <c r="P97" s="142" t="s">
        <v>10</v>
      </c>
      <c r="Q97" s="143" t="s">
        <v>10</v>
      </c>
      <c r="R97" s="143" t="s">
        <v>10</v>
      </c>
      <c r="S97" s="143" t="s">
        <v>10</v>
      </c>
      <c r="T97" s="143" t="s">
        <v>10</v>
      </c>
      <c r="U97" s="143" t="s">
        <v>10</v>
      </c>
      <c r="V97" s="143" t="s">
        <v>10</v>
      </c>
      <c r="W97" s="144" t="s">
        <v>10</v>
      </c>
      <c r="X97" s="144" t="s">
        <v>10</v>
      </c>
      <c r="Y97" s="144" t="s">
        <v>10</v>
      </c>
    </row>
    <row r="98" spans="1:25" ht="13.8">
      <c r="A98" s="140" t="s">
        <v>40</v>
      </c>
      <c r="B98" s="106">
        <v>0.80001</v>
      </c>
      <c r="C98" s="142" t="s">
        <v>10</v>
      </c>
      <c r="D98" s="143" t="s">
        <v>10</v>
      </c>
      <c r="E98" s="143" t="s">
        <v>10</v>
      </c>
      <c r="F98" s="143" t="s">
        <v>10</v>
      </c>
      <c r="G98" s="143" t="s">
        <v>10</v>
      </c>
      <c r="H98" s="143" t="s">
        <v>10</v>
      </c>
      <c r="I98" s="143" t="s">
        <v>10</v>
      </c>
      <c r="J98" s="144" t="s">
        <v>10</v>
      </c>
      <c r="K98" s="144" t="s">
        <v>10</v>
      </c>
      <c r="L98" s="144" t="s">
        <v>10</v>
      </c>
      <c r="N98" s="140" t="s">
        <v>40</v>
      </c>
      <c r="O98" s="106">
        <v>0.80001</v>
      </c>
      <c r="P98" s="142" t="s">
        <v>10</v>
      </c>
      <c r="Q98" s="143" t="s">
        <v>10</v>
      </c>
      <c r="R98" s="143" t="s">
        <v>10</v>
      </c>
      <c r="S98" s="143" t="s">
        <v>10</v>
      </c>
      <c r="T98" s="143" t="s">
        <v>10</v>
      </c>
      <c r="U98" s="143" t="s">
        <v>10</v>
      </c>
      <c r="V98" s="143" t="s">
        <v>10</v>
      </c>
      <c r="W98" s="144" t="s">
        <v>10</v>
      </c>
      <c r="X98" s="144" t="s">
        <v>10</v>
      </c>
      <c r="Y98" s="144" t="s">
        <v>10</v>
      </c>
    </row>
    <row r="99" spans="1:25" ht="13.8">
      <c r="A99" s="140" t="s">
        <v>41</v>
      </c>
      <c r="B99" s="106">
        <v>0.81001000000000001</v>
      </c>
      <c r="C99" s="142" t="s">
        <v>10</v>
      </c>
      <c r="D99" s="143" t="s">
        <v>10</v>
      </c>
      <c r="E99" s="143" t="s">
        <v>10</v>
      </c>
      <c r="F99" s="143" t="s">
        <v>10</v>
      </c>
      <c r="G99" s="143" t="s">
        <v>10</v>
      </c>
      <c r="H99" s="143" t="s">
        <v>10</v>
      </c>
      <c r="I99" s="143" t="s">
        <v>10</v>
      </c>
      <c r="J99" s="144" t="s">
        <v>10</v>
      </c>
      <c r="K99" s="144" t="s">
        <v>10</v>
      </c>
      <c r="L99" s="144" t="s">
        <v>10</v>
      </c>
      <c r="N99" s="140" t="s">
        <v>41</v>
      </c>
      <c r="O99" s="106">
        <v>0.81001000000000001</v>
      </c>
      <c r="P99" s="142" t="s">
        <v>10</v>
      </c>
      <c r="Q99" s="143" t="s">
        <v>10</v>
      </c>
      <c r="R99" s="143" t="s">
        <v>10</v>
      </c>
      <c r="S99" s="143" t="s">
        <v>10</v>
      </c>
      <c r="T99" s="143" t="s">
        <v>10</v>
      </c>
      <c r="U99" s="143" t="s">
        <v>10</v>
      </c>
      <c r="V99" s="143" t="s">
        <v>10</v>
      </c>
      <c r="W99" s="144" t="s">
        <v>10</v>
      </c>
      <c r="X99" s="144" t="s">
        <v>10</v>
      </c>
      <c r="Y99" s="144" t="s">
        <v>10</v>
      </c>
    </row>
    <row r="100" spans="1:25" ht="13.8">
      <c r="A100" s="140" t="s">
        <v>42</v>
      </c>
      <c r="B100" s="106">
        <v>0.82001000000000002</v>
      </c>
      <c r="C100" s="142" t="s">
        <v>10</v>
      </c>
      <c r="D100" s="143" t="s">
        <v>10</v>
      </c>
      <c r="E100" s="143" t="s">
        <v>10</v>
      </c>
      <c r="F100" s="143" t="s">
        <v>10</v>
      </c>
      <c r="G100" s="143" t="s">
        <v>10</v>
      </c>
      <c r="H100" s="143" t="s">
        <v>10</v>
      </c>
      <c r="I100" s="143" t="s">
        <v>10</v>
      </c>
      <c r="J100" s="144" t="s">
        <v>10</v>
      </c>
      <c r="K100" s="144" t="s">
        <v>10</v>
      </c>
      <c r="L100" s="144" t="s">
        <v>10</v>
      </c>
      <c r="N100" s="140" t="s">
        <v>42</v>
      </c>
      <c r="O100" s="106">
        <v>0.82001000000000002</v>
      </c>
      <c r="P100" s="142" t="s">
        <v>10</v>
      </c>
      <c r="Q100" s="143" t="s">
        <v>10</v>
      </c>
      <c r="R100" s="143" t="s">
        <v>10</v>
      </c>
      <c r="S100" s="143" t="s">
        <v>10</v>
      </c>
      <c r="T100" s="143" t="s">
        <v>10</v>
      </c>
      <c r="U100" s="143" t="s">
        <v>10</v>
      </c>
      <c r="V100" s="143" t="s">
        <v>10</v>
      </c>
      <c r="W100" s="144" t="s">
        <v>10</v>
      </c>
      <c r="X100" s="144" t="s">
        <v>10</v>
      </c>
      <c r="Y100" s="144" t="s">
        <v>10</v>
      </c>
    </row>
    <row r="101" spans="1:25" ht="13.8">
      <c r="A101" s="140" t="s">
        <v>43</v>
      </c>
      <c r="B101" s="106">
        <v>0.83001000000000003</v>
      </c>
      <c r="C101" s="142" t="s">
        <v>10</v>
      </c>
      <c r="D101" s="143" t="s">
        <v>10</v>
      </c>
      <c r="E101" s="143" t="s">
        <v>10</v>
      </c>
      <c r="F101" s="143" t="s">
        <v>10</v>
      </c>
      <c r="G101" s="143" t="s">
        <v>10</v>
      </c>
      <c r="H101" s="143" t="s">
        <v>10</v>
      </c>
      <c r="I101" s="143" t="s">
        <v>10</v>
      </c>
      <c r="J101" s="144" t="s">
        <v>10</v>
      </c>
      <c r="K101" s="144" t="s">
        <v>10</v>
      </c>
      <c r="L101" s="144" t="s">
        <v>10</v>
      </c>
      <c r="N101" s="140" t="s">
        <v>43</v>
      </c>
      <c r="O101" s="106">
        <v>0.83001000000000003</v>
      </c>
      <c r="P101" s="142" t="s">
        <v>10</v>
      </c>
      <c r="Q101" s="143" t="s">
        <v>10</v>
      </c>
      <c r="R101" s="143" t="s">
        <v>10</v>
      </c>
      <c r="S101" s="143" t="s">
        <v>10</v>
      </c>
      <c r="T101" s="143" t="s">
        <v>10</v>
      </c>
      <c r="U101" s="143" t="s">
        <v>10</v>
      </c>
      <c r="V101" s="143" t="s">
        <v>10</v>
      </c>
      <c r="W101" s="144" t="s">
        <v>10</v>
      </c>
      <c r="X101" s="144" t="s">
        <v>10</v>
      </c>
      <c r="Y101" s="144" t="s">
        <v>10</v>
      </c>
    </row>
    <row r="102" spans="1:25" ht="13.8">
      <c r="A102" s="140" t="s">
        <v>44</v>
      </c>
      <c r="B102" s="106">
        <v>0.84001000000000003</v>
      </c>
      <c r="C102" s="142" t="s">
        <v>10</v>
      </c>
      <c r="D102" s="143" t="s">
        <v>10</v>
      </c>
      <c r="E102" s="143" t="s">
        <v>10</v>
      </c>
      <c r="F102" s="143" t="s">
        <v>10</v>
      </c>
      <c r="G102" s="143" t="s">
        <v>10</v>
      </c>
      <c r="H102" s="143" t="s">
        <v>10</v>
      </c>
      <c r="I102" s="143" t="s">
        <v>10</v>
      </c>
      <c r="J102" s="144" t="s">
        <v>10</v>
      </c>
      <c r="K102" s="144" t="s">
        <v>10</v>
      </c>
      <c r="L102" s="144" t="s">
        <v>10</v>
      </c>
      <c r="N102" s="140" t="s">
        <v>44</v>
      </c>
      <c r="O102" s="106">
        <v>0.84001000000000003</v>
      </c>
      <c r="P102" s="142" t="s">
        <v>10</v>
      </c>
      <c r="Q102" s="143" t="s">
        <v>10</v>
      </c>
      <c r="R102" s="143" t="s">
        <v>10</v>
      </c>
      <c r="S102" s="143" t="s">
        <v>10</v>
      </c>
      <c r="T102" s="143" t="s">
        <v>10</v>
      </c>
      <c r="U102" s="143" t="s">
        <v>10</v>
      </c>
      <c r="V102" s="143" t="s">
        <v>10</v>
      </c>
      <c r="W102" s="144" t="s">
        <v>10</v>
      </c>
      <c r="X102" s="144" t="s">
        <v>10</v>
      </c>
      <c r="Y102" s="144" t="s">
        <v>10</v>
      </c>
    </row>
    <row r="103" spans="1:25" ht="13.8">
      <c r="A103" s="140" t="s">
        <v>45</v>
      </c>
      <c r="B103" s="106">
        <v>0.85001000000000004</v>
      </c>
      <c r="C103" s="142" t="s">
        <v>10</v>
      </c>
      <c r="D103" s="143" t="s">
        <v>10</v>
      </c>
      <c r="E103" s="143" t="s">
        <v>10</v>
      </c>
      <c r="F103" s="143" t="s">
        <v>10</v>
      </c>
      <c r="G103" s="143" t="s">
        <v>10</v>
      </c>
      <c r="H103" s="143" t="s">
        <v>10</v>
      </c>
      <c r="I103" s="143" t="s">
        <v>10</v>
      </c>
      <c r="J103" s="144" t="s">
        <v>10</v>
      </c>
      <c r="K103" s="144" t="s">
        <v>10</v>
      </c>
      <c r="L103" s="144" t="s">
        <v>10</v>
      </c>
      <c r="N103" s="140" t="s">
        <v>45</v>
      </c>
      <c r="O103" s="106">
        <v>0.85001000000000004</v>
      </c>
      <c r="P103" s="142" t="s">
        <v>10</v>
      </c>
      <c r="Q103" s="143" t="s">
        <v>10</v>
      </c>
      <c r="R103" s="143" t="s">
        <v>10</v>
      </c>
      <c r="S103" s="143" t="s">
        <v>10</v>
      </c>
      <c r="T103" s="143" t="s">
        <v>10</v>
      </c>
      <c r="U103" s="143" t="s">
        <v>10</v>
      </c>
      <c r="V103" s="143" t="s">
        <v>10</v>
      </c>
      <c r="W103" s="144" t="s">
        <v>10</v>
      </c>
      <c r="X103" s="144" t="s">
        <v>10</v>
      </c>
      <c r="Y103" s="144" t="s">
        <v>10</v>
      </c>
    </row>
    <row r="104" spans="1:25" ht="13.8">
      <c r="A104" s="140" t="s">
        <v>46</v>
      </c>
      <c r="B104" s="106">
        <v>0.86001000000000005</v>
      </c>
      <c r="C104" s="142" t="s">
        <v>10</v>
      </c>
      <c r="D104" s="143" t="s">
        <v>10</v>
      </c>
      <c r="E104" s="143" t="s">
        <v>10</v>
      </c>
      <c r="F104" s="143" t="s">
        <v>10</v>
      </c>
      <c r="G104" s="143" t="s">
        <v>10</v>
      </c>
      <c r="H104" s="143" t="s">
        <v>10</v>
      </c>
      <c r="I104" s="143" t="s">
        <v>10</v>
      </c>
      <c r="J104" s="144" t="s">
        <v>10</v>
      </c>
      <c r="K104" s="144" t="s">
        <v>10</v>
      </c>
      <c r="L104" s="144" t="s">
        <v>10</v>
      </c>
      <c r="N104" s="140" t="s">
        <v>46</v>
      </c>
      <c r="O104" s="106">
        <v>0.86001000000000005</v>
      </c>
      <c r="P104" s="142" t="s">
        <v>10</v>
      </c>
      <c r="Q104" s="143" t="s">
        <v>10</v>
      </c>
      <c r="R104" s="143" t="s">
        <v>10</v>
      </c>
      <c r="S104" s="143" t="s">
        <v>10</v>
      </c>
      <c r="T104" s="143" t="s">
        <v>10</v>
      </c>
      <c r="U104" s="143" t="s">
        <v>10</v>
      </c>
      <c r="V104" s="143" t="s">
        <v>10</v>
      </c>
      <c r="W104" s="144" t="s">
        <v>10</v>
      </c>
      <c r="X104" s="144" t="s">
        <v>10</v>
      </c>
      <c r="Y104" s="144" t="s">
        <v>10</v>
      </c>
    </row>
    <row r="105" spans="1:25" ht="13.8">
      <c r="A105" s="140" t="s">
        <v>47</v>
      </c>
      <c r="B105" s="106">
        <v>0.87000999999999995</v>
      </c>
      <c r="C105" s="142" t="s">
        <v>10</v>
      </c>
      <c r="D105" s="143" t="s">
        <v>10</v>
      </c>
      <c r="E105" s="143" t="s">
        <v>10</v>
      </c>
      <c r="F105" s="143" t="s">
        <v>10</v>
      </c>
      <c r="G105" s="143" t="s">
        <v>10</v>
      </c>
      <c r="H105" s="143" t="s">
        <v>10</v>
      </c>
      <c r="I105" s="143" t="s">
        <v>10</v>
      </c>
      <c r="J105" s="144" t="s">
        <v>10</v>
      </c>
      <c r="K105" s="144" t="s">
        <v>10</v>
      </c>
      <c r="L105" s="144" t="s">
        <v>10</v>
      </c>
      <c r="N105" s="140" t="s">
        <v>47</v>
      </c>
      <c r="O105" s="106">
        <v>0.87000999999999995</v>
      </c>
      <c r="P105" s="142" t="s">
        <v>10</v>
      </c>
      <c r="Q105" s="143" t="s">
        <v>10</v>
      </c>
      <c r="R105" s="143" t="s">
        <v>10</v>
      </c>
      <c r="S105" s="143" t="s">
        <v>10</v>
      </c>
      <c r="T105" s="143" t="s">
        <v>10</v>
      </c>
      <c r="U105" s="143" t="s">
        <v>10</v>
      </c>
      <c r="V105" s="143" t="s">
        <v>10</v>
      </c>
      <c r="W105" s="144" t="s">
        <v>10</v>
      </c>
      <c r="X105" s="144" t="s">
        <v>10</v>
      </c>
      <c r="Y105" s="144" t="s">
        <v>10</v>
      </c>
    </row>
    <row r="106" spans="1:25" ht="13.8">
      <c r="A106" s="140" t="s">
        <v>48</v>
      </c>
      <c r="B106" s="106">
        <v>0.88000999999999996</v>
      </c>
      <c r="C106" s="142" t="s">
        <v>10</v>
      </c>
      <c r="D106" s="143" t="s">
        <v>10</v>
      </c>
      <c r="E106" s="143" t="s">
        <v>10</v>
      </c>
      <c r="F106" s="143" t="s">
        <v>10</v>
      </c>
      <c r="G106" s="143" t="s">
        <v>10</v>
      </c>
      <c r="H106" s="143" t="s">
        <v>10</v>
      </c>
      <c r="I106" s="143" t="s">
        <v>10</v>
      </c>
      <c r="J106" s="144" t="s">
        <v>10</v>
      </c>
      <c r="K106" s="144" t="s">
        <v>10</v>
      </c>
      <c r="L106" s="144" t="s">
        <v>10</v>
      </c>
      <c r="N106" s="140" t="s">
        <v>48</v>
      </c>
      <c r="O106" s="106">
        <v>0.88000999999999996</v>
      </c>
      <c r="P106" s="142" t="s">
        <v>10</v>
      </c>
      <c r="Q106" s="143" t="s">
        <v>10</v>
      </c>
      <c r="R106" s="143" t="s">
        <v>10</v>
      </c>
      <c r="S106" s="143" t="s">
        <v>10</v>
      </c>
      <c r="T106" s="143" t="s">
        <v>10</v>
      </c>
      <c r="U106" s="143" t="s">
        <v>10</v>
      </c>
      <c r="V106" s="143" t="s">
        <v>10</v>
      </c>
      <c r="W106" s="144" t="s">
        <v>10</v>
      </c>
      <c r="X106" s="144" t="s">
        <v>10</v>
      </c>
      <c r="Y106" s="144" t="s">
        <v>10</v>
      </c>
    </row>
    <row r="107" spans="1:25" ht="13.8">
      <c r="A107" s="140" t="s">
        <v>49</v>
      </c>
      <c r="B107" s="106">
        <v>0.89000999999999997</v>
      </c>
      <c r="C107" s="142" t="s">
        <v>10</v>
      </c>
      <c r="D107" s="143" t="s">
        <v>10</v>
      </c>
      <c r="E107" s="143" t="s">
        <v>10</v>
      </c>
      <c r="F107" s="143" t="s">
        <v>10</v>
      </c>
      <c r="G107" s="143" t="s">
        <v>10</v>
      </c>
      <c r="H107" s="143" t="s">
        <v>10</v>
      </c>
      <c r="I107" s="143" t="s">
        <v>10</v>
      </c>
      <c r="J107" s="144" t="s">
        <v>10</v>
      </c>
      <c r="K107" s="144" t="s">
        <v>10</v>
      </c>
      <c r="L107" s="144" t="s">
        <v>10</v>
      </c>
      <c r="N107" s="140" t="s">
        <v>49</v>
      </c>
      <c r="O107" s="106">
        <v>0.89000999999999997</v>
      </c>
      <c r="P107" s="142" t="s">
        <v>10</v>
      </c>
      <c r="Q107" s="143" t="s">
        <v>10</v>
      </c>
      <c r="R107" s="143" t="s">
        <v>10</v>
      </c>
      <c r="S107" s="143" t="s">
        <v>10</v>
      </c>
      <c r="T107" s="143" t="s">
        <v>10</v>
      </c>
      <c r="U107" s="143" t="s">
        <v>10</v>
      </c>
      <c r="V107" s="143" t="s">
        <v>10</v>
      </c>
      <c r="W107" s="144" t="s">
        <v>10</v>
      </c>
      <c r="X107" s="144" t="s">
        <v>10</v>
      </c>
      <c r="Y107" s="144" t="s">
        <v>10</v>
      </c>
    </row>
    <row r="108" spans="1:25" ht="13.8">
      <c r="A108" s="140" t="s">
        <v>50</v>
      </c>
      <c r="B108" s="106">
        <v>0.90000999999999998</v>
      </c>
      <c r="C108" s="142" t="s">
        <v>10</v>
      </c>
      <c r="D108" s="143" t="s">
        <v>10</v>
      </c>
      <c r="E108" s="143" t="s">
        <v>10</v>
      </c>
      <c r="F108" s="143" t="s">
        <v>10</v>
      </c>
      <c r="G108" s="143" t="s">
        <v>10</v>
      </c>
      <c r="H108" s="143" t="s">
        <v>10</v>
      </c>
      <c r="I108" s="143" t="s">
        <v>10</v>
      </c>
      <c r="J108" s="144" t="s">
        <v>10</v>
      </c>
      <c r="K108" s="144" t="s">
        <v>10</v>
      </c>
      <c r="L108" s="144" t="s">
        <v>10</v>
      </c>
      <c r="N108" s="140" t="s">
        <v>50</v>
      </c>
      <c r="O108" s="106">
        <v>0.90000999999999998</v>
      </c>
      <c r="P108" s="142" t="s">
        <v>10</v>
      </c>
      <c r="Q108" s="143" t="s">
        <v>10</v>
      </c>
      <c r="R108" s="143" t="s">
        <v>10</v>
      </c>
      <c r="S108" s="143" t="s">
        <v>10</v>
      </c>
      <c r="T108" s="143" t="s">
        <v>10</v>
      </c>
      <c r="U108" s="143" t="s">
        <v>10</v>
      </c>
      <c r="V108" s="143" t="s">
        <v>10</v>
      </c>
      <c r="W108" s="144" t="s">
        <v>10</v>
      </c>
      <c r="X108" s="144" t="s">
        <v>10</v>
      </c>
      <c r="Y108" s="144" t="s">
        <v>10</v>
      </c>
    </row>
    <row r="109" spans="1:25" ht="13.8">
      <c r="A109" s="140" t="s">
        <v>51</v>
      </c>
      <c r="B109" s="106">
        <v>0.91000999999999999</v>
      </c>
      <c r="C109" s="142" t="s">
        <v>10</v>
      </c>
      <c r="D109" s="143" t="s">
        <v>10</v>
      </c>
      <c r="E109" s="143" t="s">
        <v>10</v>
      </c>
      <c r="F109" s="143" t="s">
        <v>10</v>
      </c>
      <c r="G109" s="143" t="s">
        <v>10</v>
      </c>
      <c r="H109" s="143" t="s">
        <v>10</v>
      </c>
      <c r="I109" s="143" t="s">
        <v>10</v>
      </c>
      <c r="J109" s="144" t="s">
        <v>10</v>
      </c>
      <c r="K109" s="144" t="s">
        <v>10</v>
      </c>
      <c r="L109" s="144" t="s">
        <v>10</v>
      </c>
      <c r="N109" s="140" t="s">
        <v>51</v>
      </c>
      <c r="O109" s="106">
        <v>0.91000999999999999</v>
      </c>
      <c r="P109" s="142" t="s">
        <v>10</v>
      </c>
      <c r="Q109" s="143" t="s">
        <v>10</v>
      </c>
      <c r="R109" s="143" t="s">
        <v>10</v>
      </c>
      <c r="S109" s="143" t="s">
        <v>10</v>
      </c>
      <c r="T109" s="143" t="s">
        <v>10</v>
      </c>
      <c r="U109" s="143" t="s">
        <v>10</v>
      </c>
      <c r="V109" s="143" t="s">
        <v>10</v>
      </c>
      <c r="W109" s="144" t="s">
        <v>10</v>
      </c>
      <c r="X109" s="144" t="s">
        <v>10</v>
      </c>
      <c r="Y109" s="144" t="s">
        <v>10</v>
      </c>
    </row>
    <row r="110" spans="1:25" ht="13.8">
      <c r="A110" s="140" t="s">
        <v>52</v>
      </c>
      <c r="B110" s="106">
        <v>0.92000999999999999</v>
      </c>
      <c r="C110" s="142" t="s">
        <v>10</v>
      </c>
      <c r="D110" s="143" t="s">
        <v>10</v>
      </c>
      <c r="E110" s="143" t="s">
        <v>10</v>
      </c>
      <c r="F110" s="143" t="s">
        <v>10</v>
      </c>
      <c r="G110" s="143" t="s">
        <v>10</v>
      </c>
      <c r="H110" s="143" t="s">
        <v>10</v>
      </c>
      <c r="I110" s="143" t="s">
        <v>10</v>
      </c>
      <c r="J110" s="144" t="s">
        <v>10</v>
      </c>
      <c r="K110" s="144" t="s">
        <v>10</v>
      </c>
      <c r="L110" s="144" t="s">
        <v>10</v>
      </c>
      <c r="N110" s="140" t="s">
        <v>52</v>
      </c>
      <c r="O110" s="106">
        <v>0.92000999999999999</v>
      </c>
      <c r="P110" s="142" t="s">
        <v>10</v>
      </c>
      <c r="Q110" s="143" t="s">
        <v>10</v>
      </c>
      <c r="R110" s="143" t="s">
        <v>10</v>
      </c>
      <c r="S110" s="143" t="s">
        <v>10</v>
      </c>
      <c r="T110" s="143" t="s">
        <v>10</v>
      </c>
      <c r="U110" s="143" t="s">
        <v>10</v>
      </c>
      <c r="V110" s="143" t="s">
        <v>10</v>
      </c>
      <c r="W110" s="144" t="s">
        <v>10</v>
      </c>
      <c r="X110" s="144" t="s">
        <v>10</v>
      </c>
      <c r="Y110" s="144" t="s">
        <v>10</v>
      </c>
    </row>
    <row r="111" spans="1:25" ht="13.8">
      <c r="A111" s="140" t="s">
        <v>53</v>
      </c>
      <c r="B111" s="106">
        <v>0.93001</v>
      </c>
      <c r="C111" s="142" t="s">
        <v>10</v>
      </c>
      <c r="D111" s="143" t="s">
        <v>10</v>
      </c>
      <c r="E111" s="143" t="s">
        <v>10</v>
      </c>
      <c r="F111" s="143" t="s">
        <v>10</v>
      </c>
      <c r="G111" s="143" t="s">
        <v>10</v>
      </c>
      <c r="H111" s="143" t="s">
        <v>10</v>
      </c>
      <c r="I111" s="143" t="s">
        <v>10</v>
      </c>
      <c r="J111" s="144" t="s">
        <v>10</v>
      </c>
      <c r="K111" s="144" t="s">
        <v>10</v>
      </c>
      <c r="L111" s="144" t="s">
        <v>10</v>
      </c>
      <c r="N111" s="140" t="s">
        <v>53</v>
      </c>
      <c r="O111" s="106">
        <v>0.93001</v>
      </c>
      <c r="P111" s="142" t="s">
        <v>10</v>
      </c>
      <c r="Q111" s="143" t="s">
        <v>10</v>
      </c>
      <c r="R111" s="143" t="s">
        <v>10</v>
      </c>
      <c r="S111" s="143" t="s">
        <v>10</v>
      </c>
      <c r="T111" s="143" t="s">
        <v>10</v>
      </c>
      <c r="U111" s="143" t="s">
        <v>10</v>
      </c>
      <c r="V111" s="143" t="s">
        <v>10</v>
      </c>
      <c r="W111" s="144" t="s">
        <v>10</v>
      </c>
      <c r="X111" s="144" t="s">
        <v>10</v>
      </c>
      <c r="Y111" s="144" t="s">
        <v>10</v>
      </c>
    </row>
    <row r="112" spans="1:25" ht="13.8">
      <c r="A112" s="140" t="s">
        <v>54</v>
      </c>
      <c r="B112" s="106">
        <v>0.94001000000000001</v>
      </c>
      <c r="C112" s="142" t="s">
        <v>10</v>
      </c>
      <c r="D112" s="143" t="s">
        <v>10</v>
      </c>
      <c r="E112" s="143" t="s">
        <v>10</v>
      </c>
      <c r="F112" s="143" t="s">
        <v>10</v>
      </c>
      <c r="G112" s="143" t="s">
        <v>10</v>
      </c>
      <c r="H112" s="143" t="s">
        <v>10</v>
      </c>
      <c r="I112" s="143" t="s">
        <v>10</v>
      </c>
      <c r="J112" s="144" t="s">
        <v>10</v>
      </c>
      <c r="K112" s="144" t="s">
        <v>10</v>
      </c>
      <c r="L112" s="144" t="s">
        <v>10</v>
      </c>
      <c r="N112" s="140" t="s">
        <v>54</v>
      </c>
      <c r="O112" s="106">
        <v>0.94001000000000001</v>
      </c>
      <c r="P112" s="142" t="s">
        <v>10</v>
      </c>
      <c r="Q112" s="143" t="s">
        <v>10</v>
      </c>
      <c r="R112" s="143" t="s">
        <v>10</v>
      </c>
      <c r="S112" s="143" t="s">
        <v>10</v>
      </c>
      <c r="T112" s="143" t="s">
        <v>10</v>
      </c>
      <c r="U112" s="143" t="s">
        <v>10</v>
      </c>
      <c r="V112" s="143" t="s">
        <v>10</v>
      </c>
      <c r="W112" s="144" t="s">
        <v>10</v>
      </c>
      <c r="X112" s="144" t="s">
        <v>10</v>
      </c>
      <c r="Y112" s="144" t="s">
        <v>10</v>
      </c>
    </row>
    <row r="113" spans="1:25" ht="13.8">
      <c r="A113" s="140" t="s">
        <v>57</v>
      </c>
      <c r="B113" s="106">
        <v>0.95001000000000002</v>
      </c>
      <c r="C113" s="142" t="s">
        <v>10</v>
      </c>
      <c r="D113" s="143" t="s">
        <v>10</v>
      </c>
      <c r="E113" s="143" t="s">
        <v>10</v>
      </c>
      <c r="F113" s="143" t="s">
        <v>10</v>
      </c>
      <c r="G113" s="143" t="s">
        <v>10</v>
      </c>
      <c r="H113" s="143" t="s">
        <v>10</v>
      </c>
      <c r="I113" s="143" t="s">
        <v>10</v>
      </c>
      <c r="J113" s="144" t="s">
        <v>10</v>
      </c>
      <c r="K113" s="144" t="s">
        <v>10</v>
      </c>
      <c r="L113" s="144" t="s">
        <v>10</v>
      </c>
      <c r="N113" s="140" t="s">
        <v>57</v>
      </c>
      <c r="O113" s="106">
        <v>0.95001000000000002</v>
      </c>
      <c r="P113" s="142" t="s">
        <v>10</v>
      </c>
      <c r="Q113" s="143" t="s">
        <v>10</v>
      </c>
      <c r="R113" s="143" t="s">
        <v>10</v>
      </c>
      <c r="S113" s="143" t="s">
        <v>10</v>
      </c>
      <c r="T113" s="143" t="s">
        <v>10</v>
      </c>
      <c r="U113" s="143" t="s">
        <v>10</v>
      </c>
      <c r="V113" s="143" t="s">
        <v>10</v>
      </c>
      <c r="W113" s="144" t="s">
        <v>10</v>
      </c>
      <c r="X113" s="144" t="s">
        <v>10</v>
      </c>
      <c r="Y113" s="144" t="s">
        <v>10</v>
      </c>
    </row>
    <row r="114" spans="1:25" ht="13.8">
      <c r="A114" s="140" t="s">
        <v>58</v>
      </c>
      <c r="B114" s="106">
        <v>0.96001000000000003</v>
      </c>
      <c r="C114" s="142" t="s">
        <v>10</v>
      </c>
      <c r="D114" s="143" t="s">
        <v>10</v>
      </c>
      <c r="E114" s="143" t="s">
        <v>10</v>
      </c>
      <c r="F114" s="143" t="s">
        <v>10</v>
      </c>
      <c r="G114" s="143" t="s">
        <v>10</v>
      </c>
      <c r="H114" s="143" t="s">
        <v>10</v>
      </c>
      <c r="I114" s="143" t="s">
        <v>10</v>
      </c>
      <c r="J114" s="144" t="s">
        <v>10</v>
      </c>
      <c r="K114" s="144" t="s">
        <v>10</v>
      </c>
      <c r="L114" s="144" t="s">
        <v>10</v>
      </c>
      <c r="N114" s="140" t="s">
        <v>58</v>
      </c>
      <c r="O114" s="106">
        <v>0.96001000000000003</v>
      </c>
      <c r="P114" s="142" t="s">
        <v>10</v>
      </c>
      <c r="Q114" s="143" t="s">
        <v>10</v>
      </c>
      <c r="R114" s="143" t="s">
        <v>10</v>
      </c>
      <c r="S114" s="143" t="s">
        <v>10</v>
      </c>
      <c r="T114" s="143" t="s">
        <v>10</v>
      </c>
      <c r="U114" s="143" t="s">
        <v>10</v>
      </c>
      <c r="V114" s="143" t="s">
        <v>10</v>
      </c>
      <c r="W114" s="144" t="s">
        <v>10</v>
      </c>
      <c r="X114" s="144" t="s">
        <v>10</v>
      </c>
      <c r="Y114" s="144" t="s">
        <v>10</v>
      </c>
    </row>
    <row r="115" spans="1:25" ht="13.8">
      <c r="A115" s="140" t="s">
        <v>59</v>
      </c>
      <c r="B115" s="106">
        <v>0.97001000000000004</v>
      </c>
      <c r="C115" s="142" t="s">
        <v>10</v>
      </c>
      <c r="D115" s="143" t="s">
        <v>10</v>
      </c>
      <c r="E115" s="143" t="s">
        <v>10</v>
      </c>
      <c r="F115" s="143" t="s">
        <v>10</v>
      </c>
      <c r="G115" s="143" t="s">
        <v>10</v>
      </c>
      <c r="H115" s="143" t="s">
        <v>10</v>
      </c>
      <c r="I115" s="143" t="s">
        <v>10</v>
      </c>
      <c r="J115" s="144" t="s">
        <v>10</v>
      </c>
      <c r="K115" s="144" t="s">
        <v>10</v>
      </c>
      <c r="L115" s="144" t="s">
        <v>10</v>
      </c>
      <c r="N115" s="140" t="s">
        <v>59</v>
      </c>
      <c r="O115" s="106">
        <v>0.97001000000000004</v>
      </c>
      <c r="P115" s="142" t="s">
        <v>10</v>
      </c>
      <c r="Q115" s="143" t="s">
        <v>10</v>
      </c>
      <c r="R115" s="143" t="s">
        <v>10</v>
      </c>
      <c r="S115" s="143" t="s">
        <v>10</v>
      </c>
      <c r="T115" s="143" t="s">
        <v>10</v>
      </c>
      <c r="U115" s="143" t="s">
        <v>10</v>
      </c>
      <c r="V115" s="143" t="s">
        <v>10</v>
      </c>
      <c r="W115" s="144" t="s">
        <v>10</v>
      </c>
      <c r="X115" s="144" t="s">
        <v>10</v>
      </c>
      <c r="Y115" s="144" t="s">
        <v>10</v>
      </c>
    </row>
    <row r="116" spans="1:25" ht="13.8">
      <c r="A116" s="140" t="s">
        <v>60</v>
      </c>
      <c r="B116" s="106">
        <v>0.98001000000000005</v>
      </c>
      <c r="C116" s="142" t="s">
        <v>10</v>
      </c>
      <c r="D116" s="143" t="s">
        <v>10</v>
      </c>
      <c r="E116" s="143" t="s">
        <v>10</v>
      </c>
      <c r="F116" s="143" t="s">
        <v>10</v>
      </c>
      <c r="G116" s="143" t="s">
        <v>10</v>
      </c>
      <c r="H116" s="143" t="s">
        <v>10</v>
      </c>
      <c r="I116" s="143" t="s">
        <v>10</v>
      </c>
      <c r="J116" s="144" t="s">
        <v>10</v>
      </c>
      <c r="K116" s="144" t="s">
        <v>10</v>
      </c>
      <c r="L116" s="144" t="s">
        <v>10</v>
      </c>
      <c r="N116" s="140" t="s">
        <v>60</v>
      </c>
      <c r="O116" s="106">
        <v>0.98001000000000005</v>
      </c>
      <c r="P116" s="142" t="s">
        <v>10</v>
      </c>
      <c r="Q116" s="143" t="s">
        <v>10</v>
      </c>
      <c r="R116" s="143" t="s">
        <v>10</v>
      </c>
      <c r="S116" s="143" t="s">
        <v>10</v>
      </c>
      <c r="T116" s="143" t="s">
        <v>10</v>
      </c>
      <c r="U116" s="143" t="s">
        <v>10</v>
      </c>
      <c r="V116" s="143" t="s">
        <v>10</v>
      </c>
      <c r="W116" s="144" t="s">
        <v>10</v>
      </c>
      <c r="X116" s="144" t="s">
        <v>10</v>
      </c>
      <c r="Y116" s="144" t="s">
        <v>10</v>
      </c>
    </row>
    <row r="117" spans="1:25" ht="13.8">
      <c r="A117" s="141" t="s">
        <v>61</v>
      </c>
      <c r="B117" s="106">
        <v>0.99000999999999995</v>
      </c>
      <c r="C117" s="145" t="s">
        <v>10</v>
      </c>
      <c r="D117" s="146" t="s">
        <v>10</v>
      </c>
      <c r="E117" s="146" t="s">
        <v>10</v>
      </c>
      <c r="F117" s="146" t="s">
        <v>10</v>
      </c>
      <c r="G117" s="146" t="s">
        <v>10</v>
      </c>
      <c r="H117" s="146" t="s">
        <v>10</v>
      </c>
      <c r="I117" s="146" t="s">
        <v>10</v>
      </c>
      <c r="J117" s="147" t="s">
        <v>10</v>
      </c>
      <c r="K117" s="147" t="s">
        <v>10</v>
      </c>
      <c r="L117" s="147" t="s">
        <v>10</v>
      </c>
      <c r="N117" s="141" t="s">
        <v>61</v>
      </c>
      <c r="O117" s="106">
        <v>0.99000999999999995</v>
      </c>
      <c r="P117" s="145" t="s">
        <v>10</v>
      </c>
      <c r="Q117" s="146" t="s">
        <v>10</v>
      </c>
      <c r="R117" s="146" t="s">
        <v>10</v>
      </c>
      <c r="S117" s="146" t="s">
        <v>10</v>
      </c>
      <c r="T117" s="146" t="s">
        <v>10</v>
      </c>
      <c r="U117" s="146" t="s">
        <v>10</v>
      </c>
      <c r="V117" s="146" t="s">
        <v>10</v>
      </c>
      <c r="W117" s="147" t="s">
        <v>10</v>
      </c>
      <c r="X117" s="147" t="s">
        <v>10</v>
      </c>
      <c r="Y117" s="147" t="s">
        <v>10</v>
      </c>
    </row>
    <row r="118" spans="1:25" ht="13.8">
      <c r="A118" s="129"/>
      <c r="B118" s="130"/>
      <c r="C118" s="385" t="s">
        <v>188</v>
      </c>
      <c r="D118" s="386"/>
      <c r="E118" s="386"/>
      <c r="F118" s="386"/>
      <c r="G118" s="386"/>
      <c r="H118" s="386"/>
      <c r="I118" s="386"/>
      <c r="J118" s="386"/>
      <c r="K118" s="386"/>
      <c r="L118" s="387"/>
      <c r="N118" s="129"/>
      <c r="O118" s="130"/>
      <c r="P118" s="385" t="s">
        <v>188</v>
      </c>
      <c r="Q118" s="386"/>
      <c r="R118" s="386"/>
      <c r="S118" s="386"/>
      <c r="T118" s="386"/>
      <c r="U118" s="386"/>
      <c r="V118" s="386"/>
      <c r="W118" s="386"/>
      <c r="X118" s="386"/>
      <c r="Y118" s="387"/>
    </row>
  </sheetData>
  <mergeCells count="8">
    <mergeCell ref="C28:L28"/>
    <mergeCell ref="C58:L58"/>
    <mergeCell ref="C88:L88"/>
    <mergeCell ref="C118:L118"/>
    <mergeCell ref="P28:Y28"/>
    <mergeCell ref="P58:Y58"/>
    <mergeCell ref="P88:Y88"/>
    <mergeCell ref="P118:Y11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54"/>
  <sheetViews>
    <sheetView workbookViewId="0">
      <selection activeCell="E16" sqref="E16"/>
    </sheetView>
  </sheetViews>
  <sheetFormatPr defaultColWidth="9.109375" defaultRowHeight="13.2"/>
  <cols>
    <col min="1" max="1" width="8.5546875" style="20" customWidth="1"/>
    <col min="2" max="2" width="39.44140625" style="20" customWidth="1"/>
    <col min="3" max="3" width="7.44140625" style="20" bestFit="1" customWidth="1"/>
    <col min="4" max="4" width="8.44140625" style="20" customWidth="1"/>
    <col min="5" max="5" width="29.88671875" style="20" customWidth="1"/>
    <col min="6" max="6" width="10.44140625" style="20" customWidth="1"/>
    <col min="7" max="7" width="4.88671875" style="19" customWidth="1"/>
    <col min="8" max="8" width="16.44140625" style="20" customWidth="1"/>
    <col min="9" max="9" width="4.5546875" style="20" bestFit="1" customWidth="1"/>
    <col min="10" max="10" width="10.109375" style="20" bestFit="1" customWidth="1"/>
    <col min="11" max="11" width="4.5546875" style="20" bestFit="1" customWidth="1"/>
    <col min="12" max="16384" width="9.109375" style="20"/>
  </cols>
  <sheetData>
    <row r="1" spans="1:9" ht="22.8">
      <c r="A1" s="15" t="s">
        <v>2</v>
      </c>
      <c r="B1" s="16"/>
      <c r="C1" s="17"/>
      <c r="D1" s="17"/>
      <c r="E1" s="17"/>
      <c r="F1" s="18"/>
      <c r="H1" s="60"/>
      <c r="I1" s="60"/>
    </row>
    <row r="2" spans="1:9" ht="22.8">
      <c r="A2" s="21"/>
      <c r="B2" s="22"/>
      <c r="C2" s="23"/>
      <c r="D2" s="23"/>
      <c r="E2" s="23"/>
      <c r="F2" s="24"/>
      <c r="H2" s="60"/>
      <c r="I2" s="60"/>
    </row>
    <row r="3" spans="1:9">
      <c r="A3" s="25"/>
      <c r="B3" s="26">
        <v>1</v>
      </c>
      <c r="C3" s="62">
        <v>0</v>
      </c>
      <c r="D3" s="63" t="s">
        <v>3</v>
      </c>
      <c r="E3" s="64"/>
      <c r="F3" s="24"/>
      <c r="H3" s="60"/>
      <c r="I3" s="60"/>
    </row>
    <row r="4" spans="1:9">
      <c r="A4" s="25"/>
      <c r="B4" s="27">
        <v>2</v>
      </c>
      <c r="C4" s="65">
        <v>0</v>
      </c>
      <c r="D4" s="66" t="s">
        <v>66</v>
      </c>
      <c r="E4" s="67"/>
      <c r="F4" s="24"/>
      <c r="H4" s="60"/>
      <c r="I4" s="60"/>
    </row>
    <row r="5" spans="1:9">
      <c r="A5" s="25"/>
      <c r="B5" s="27">
        <v>4</v>
      </c>
      <c r="C5" s="68">
        <v>0.09</v>
      </c>
      <c r="D5" s="311" t="s">
        <v>184</v>
      </c>
      <c r="E5" s="69"/>
      <c r="F5" s="24"/>
      <c r="H5" s="60"/>
    </row>
    <row r="6" spans="1:9">
      <c r="A6" s="25"/>
      <c r="B6" s="27">
        <v>5</v>
      </c>
      <c r="C6" s="68">
        <v>0.1</v>
      </c>
      <c r="D6" s="66" t="s">
        <v>67</v>
      </c>
      <c r="E6" s="69"/>
      <c r="F6" s="24"/>
      <c r="H6" s="60"/>
    </row>
    <row r="7" spans="1:9">
      <c r="A7" s="25"/>
      <c r="B7" s="27">
        <v>6</v>
      </c>
      <c r="C7" s="68">
        <v>0.11</v>
      </c>
      <c r="D7" s="66" t="s">
        <v>68</v>
      </c>
      <c r="E7" s="69"/>
      <c r="F7" s="24"/>
      <c r="H7" s="60"/>
    </row>
    <row r="8" spans="1:9">
      <c r="A8" s="25"/>
      <c r="B8" s="27">
        <v>7</v>
      </c>
      <c r="C8" s="68">
        <v>0.1</v>
      </c>
      <c r="D8" s="66" t="s">
        <v>69</v>
      </c>
      <c r="E8" s="69"/>
      <c r="F8" s="24"/>
      <c r="H8" s="60"/>
    </row>
    <row r="9" spans="1:9">
      <c r="A9" s="25"/>
      <c r="B9" s="27">
        <v>8</v>
      </c>
      <c r="C9" s="68">
        <v>0.1</v>
      </c>
      <c r="D9" s="66" t="s">
        <v>70</v>
      </c>
      <c r="E9" s="69"/>
      <c r="F9" s="24"/>
      <c r="H9" s="60"/>
    </row>
    <row r="10" spans="1:9">
      <c r="A10" s="25"/>
      <c r="B10" s="27">
        <v>9</v>
      </c>
      <c r="C10" s="68">
        <v>0.1</v>
      </c>
      <c r="D10" s="66" t="s">
        <v>71</v>
      </c>
      <c r="E10" s="69"/>
      <c r="F10" s="24"/>
      <c r="H10" s="60"/>
    </row>
    <row r="11" spans="1:9">
      <c r="A11" s="25"/>
      <c r="B11" s="28">
        <v>10</v>
      </c>
      <c r="C11" s="70">
        <v>0</v>
      </c>
      <c r="D11" s="71" t="s">
        <v>72</v>
      </c>
      <c r="E11" s="72"/>
      <c r="F11" s="24"/>
      <c r="H11" s="60"/>
    </row>
    <row r="12" spans="1:9">
      <c r="A12" s="25"/>
      <c r="B12" s="23"/>
      <c r="C12" s="23"/>
      <c r="D12" s="23"/>
      <c r="E12" s="23"/>
      <c r="F12" s="24"/>
    </row>
    <row r="13" spans="1:9">
      <c r="A13" s="29"/>
      <c r="B13" s="30"/>
      <c r="C13" s="30"/>
      <c r="D13" s="30"/>
      <c r="E13" s="30"/>
      <c r="F13" s="31"/>
    </row>
    <row r="15" spans="1:9" ht="22.8">
      <c r="A15" s="32" t="s">
        <v>5</v>
      </c>
    </row>
    <row r="16" spans="1:9" ht="16.5" customHeight="1">
      <c r="A16" s="32"/>
    </row>
    <row r="17" spans="1:14" s="34" customFormat="1" ht="27">
      <c r="A17" s="33" t="s">
        <v>4</v>
      </c>
      <c r="D17" s="44" t="s">
        <v>7</v>
      </c>
      <c r="E17" s="34" t="s">
        <v>6</v>
      </c>
      <c r="F17" s="45" t="s">
        <v>8</v>
      </c>
      <c r="H17" s="35"/>
    </row>
    <row r="18" spans="1:14">
      <c r="A18" s="20">
        <v>1</v>
      </c>
      <c r="B18" s="73" t="s">
        <v>126</v>
      </c>
      <c r="C18" s="40"/>
      <c r="D18" s="74">
        <v>95</v>
      </c>
      <c r="E18" s="75">
        <v>3500000</v>
      </c>
      <c r="F18" s="205">
        <v>1200</v>
      </c>
      <c r="G18" s="17" t="str">
        <f t="shared" ref="G18:G31" si="0">IF(B18=""," ","Adjusted by the maximum and minimum figures, set out on corresponding Rate_Card Section")</f>
        <v>Adjusted by the maximum and minimum figures, set out on corresponding Rate_Card Section</v>
      </c>
      <c r="H18" s="17"/>
      <c r="I18" s="36"/>
      <c r="J18" s="17"/>
      <c r="K18" s="17"/>
      <c r="L18" s="17"/>
      <c r="M18" s="17"/>
      <c r="N18" s="18"/>
    </row>
    <row r="19" spans="1:14">
      <c r="A19" s="20">
        <v>2</v>
      </c>
      <c r="B19" s="58" t="s">
        <v>181</v>
      </c>
      <c r="C19" s="39"/>
      <c r="D19" s="76">
        <v>80</v>
      </c>
      <c r="E19" s="77">
        <v>2500000</v>
      </c>
      <c r="F19" s="205">
        <v>1200</v>
      </c>
      <c r="G19" s="23" t="str">
        <f>IF(B19=""," ","Adjusted by the maximum and minimum figures, set out on corresponding Rate_Card Section")</f>
        <v>Adjusted by the maximum and minimum figures, set out on corresponding Rate_Card Section</v>
      </c>
      <c r="H19" s="23"/>
      <c r="I19" s="37"/>
      <c r="J19" s="23"/>
      <c r="K19" s="23"/>
      <c r="L19" s="23"/>
      <c r="M19" s="23"/>
      <c r="N19" s="24"/>
    </row>
    <row r="20" spans="1:14">
      <c r="A20" s="20">
        <v>3</v>
      </c>
      <c r="B20" s="58" t="s">
        <v>20</v>
      </c>
      <c r="C20" s="39"/>
      <c r="D20" s="76">
        <v>95</v>
      </c>
      <c r="E20" s="77">
        <v>750000</v>
      </c>
      <c r="F20" s="205">
        <v>1200</v>
      </c>
      <c r="G20" s="23" t="str">
        <f>IF(B20=""," ","Adjusted by the maximum and minimum figures, set out on corresponding Rate_Card Section")</f>
        <v>Adjusted by the maximum and minimum figures, set out on corresponding Rate_Card Section</v>
      </c>
      <c r="H20" s="23"/>
      <c r="I20" s="37"/>
      <c r="J20" s="23"/>
      <c r="K20" s="23"/>
      <c r="L20" s="23"/>
      <c r="M20" s="23"/>
      <c r="N20" s="24"/>
    </row>
    <row r="21" spans="1:14">
      <c r="A21" s="20">
        <v>4</v>
      </c>
      <c r="B21" s="58" t="s">
        <v>19</v>
      </c>
      <c r="C21" s="39"/>
      <c r="D21" s="76">
        <v>85</v>
      </c>
      <c r="E21" s="77">
        <v>750000</v>
      </c>
      <c r="F21" s="205">
        <v>1500</v>
      </c>
      <c r="G21" s="23" t="str">
        <f>IF(B21=""," ","Adjusted by the maximum and minimum figures, set out on corresponding Rate_Card Section")</f>
        <v>Adjusted by the maximum and minimum figures, set out on corresponding Rate_Card Section</v>
      </c>
      <c r="H21" s="23"/>
      <c r="I21" s="37"/>
      <c r="J21" s="23"/>
      <c r="K21" s="23"/>
      <c r="L21" s="23"/>
      <c r="M21" s="23"/>
      <c r="N21" s="24"/>
    </row>
    <row r="22" spans="1:14">
      <c r="A22" s="20">
        <v>5</v>
      </c>
      <c r="B22" s="58"/>
      <c r="C22" s="39"/>
      <c r="D22" s="76"/>
      <c r="E22" s="77"/>
      <c r="F22" s="78"/>
      <c r="G22" s="23"/>
      <c r="H22" s="23"/>
      <c r="I22" s="37"/>
      <c r="J22" s="23"/>
      <c r="K22" s="23"/>
      <c r="L22" s="23"/>
      <c r="M22" s="23"/>
      <c r="N22" s="24"/>
    </row>
    <row r="23" spans="1:14">
      <c r="A23" s="20">
        <v>6</v>
      </c>
      <c r="B23" s="58"/>
      <c r="C23" s="39"/>
      <c r="D23" s="76"/>
      <c r="E23" s="77"/>
      <c r="F23" s="78"/>
      <c r="G23" s="23"/>
      <c r="H23" s="23"/>
      <c r="I23" s="37"/>
      <c r="J23" s="23"/>
      <c r="K23" s="23"/>
      <c r="L23" s="23"/>
      <c r="M23" s="23"/>
      <c r="N23" s="24"/>
    </row>
    <row r="24" spans="1:14">
      <c r="A24" s="20">
        <v>7</v>
      </c>
      <c r="B24" s="53"/>
      <c r="C24" s="39"/>
      <c r="D24" s="76"/>
      <c r="E24" s="77"/>
      <c r="F24" s="77"/>
      <c r="G24" s="23" t="str">
        <f t="shared" si="0"/>
        <v xml:space="preserve"> </v>
      </c>
      <c r="H24" s="23"/>
      <c r="I24" s="37"/>
      <c r="J24" s="23"/>
      <c r="K24" s="23"/>
      <c r="L24" s="23"/>
      <c r="M24" s="23"/>
      <c r="N24" s="24"/>
    </row>
    <row r="25" spans="1:14">
      <c r="A25" s="20">
        <v>8</v>
      </c>
      <c r="B25" s="53"/>
      <c r="C25" s="39"/>
      <c r="D25" s="76"/>
      <c r="E25" s="77"/>
      <c r="F25" s="77"/>
      <c r="G25" s="23" t="str">
        <f t="shared" si="0"/>
        <v xml:space="preserve"> </v>
      </c>
      <c r="H25" s="23"/>
      <c r="I25" s="37"/>
      <c r="J25" s="23"/>
      <c r="K25" s="23"/>
      <c r="L25" s="23"/>
      <c r="M25" s="23"/>
      <c r="N25" s="24"/>
    </row>
    <row r="26" spans="1:14">
      <c r="A26" s="20">
        <v>9</v>
      </c>
      <c r="B26" s="53"/>
      <c r="C26" s="39"/>
      <c r="D26" s="76"/>
      <c r="E26" s="77"/>
      <c r="F26" s="77"/>
      <c r="G26" s="23" t="str">
        <f>IF(B26=""," ","Adjusted by the maximum and minimum figures, set out on corresponding Rate_Card Section")</f>
        <v xml:space="preserve"> </v>
      </c>
      <c r="H26" s="23"/>
      <c r="I26" s="37"/>
      <c r="J26" s="23"/>
      <c r="K26" s="23"/>
      <c r="L26" s="23"/>
      <c r="M26" s="23"/>
      <c r="N26" s="24"/>
    </row>
    <row r="27" spans="1:14">
      <c r="A27" s="20">
        <v>10</v>
      </c>
      <c r="B27" s="53"/>
      <c r="C27" s="39"/>
      <c r="D27" s="76"/>
      <c r="E27" s="77"/>
      <c r="F27" s="77"/>
      <c r="G27" s="23" t="str">
        <f t="shared" si="0"/>
        <v xml:space="preserve"> </v>
      </c>
      <c r="H27" s="23"/>
      <c r="I27" s="37"/>
      <c r="J27" s="23"/>
      <c r="K27" s="23"/>
      <c r="L27" s="23"/>
      <c r="M27" s="23"/>
      <c r="N27" s="24"/>
    </row>
    <row r="28" spans="1:14">
      <c r="B28" s="53"/>
      <c r="C28" s="39"/>
      <c r="D28" s="76"/>
      <c r="E28" s="77"/>
      <c r="F28" s="77"/>
      <c r="G28" s="23" t="str">
        <f t="shared" si="0"/>
        <v xml:space="preserve"> </v>
      </c>
      <c r="H28" s="23"/>
      <c r="I28" s="37"/>
      <c r="J28" s="23"/>
      <c r="K28" s="23"/>
      <c r="L28" s="23"/>
      <c r="M28" s="23"/>
      <c r="N28" s="24"/>
    </row>
    <row r="29" spans="1:14">
      <c r="A29" s="20">
        <v>1</v>
      </c>
      <c r="B29" s="53" t="s">
        <v>62</v>
      </c>
      <c r="C29" s="39"/>
      <c r="D29" s="76"/>
      <c r="E29" s="77"/>
      <c r="F29" s="77"/>
      <c r="G29" s="23" t="str">
        <f t="shared" si="0"/>
        <v>Adjusted by the maximum and minimum figures, set out on corresponding Rate_Card Section</v>
      </c>
      <c r="H29" s="23"/>
      <c r="I29" s="37"/>
      <c r="J29" s="23"/>
      <c r="K29" s="23"/>
      <c r="L29" s="23"/>
      <c r="M29" s="23"/>
      <c r="N29" s="24"/>
    </row>
    <row r="30" spans="1:14">
      <c r="A30" s="20">
        <v>2</v>
      </c>
      <c r="B30" s="53" t="s">
        <v>11</v>
      </c>
      <c r="C30" s="39"/>
      <c r="D30" s="76"/>
      <c r="E30" s="77"/>
      <c r="F30" s="77"/>
      <c r="G30" s="23" t="str">
        <f t="shared" si="0"/>
        <v>Adjusted by the maximum and minimum figures, set out on corresponding Rate_Card Section</v>
      </c>
      <c r="H30" s="23"/>
      <c r="I30" s="37"/>
      <c r="J30" s="23"/>
      <c r="K30" s="23"/>
      <c r="L30" s="23"/>
      <c r="M30" s="23"/>
      <c r="N30" s="24"/>
    </row>
    <row r="31" spans="1:14">
      <c r="B31" s="54"/>
      <c r="C31" s="41"/>
      <c r="D31" s="79"/>
      <c r="E31" s="80"/>
      <c r="F31" s="80"/>
      <c r="G31" s="30" t="str">
        <f t="shared" si="0"/>
        <v xml:space="preserve"> </v>
      </c>
      <c r="H31" s="30"/>
      <c r="I31" s="38"/>
      <c r="J31" s="30"/>
      <c r="K31" s="30"/>
      <c r="L31" s="30"/>
      <c r="M31" s="30"/>
      <c r="N31" s="31"/>
    </row>
    <row r="32" spans="1:14">
      <c r="A32" s="34" t="s">
        <v>28</v>
      </c>
    </row>
    <row r="33" spans="1:3">
      <c r="A33" s="82">
        <v>1</v>
      </c>
      <c r="B33" s="83" t="s">
        <v>14</v>
      </c>
    </row>
    <row r="34" spans="1:3">
      <c r="A34" s="82">
        <v>2</v>
      </c>
      <c r="B34" s="84" t="s">
        <v>15</v>
      </c>
    </row>
    <row r="35" spans="1:3">
      <c r="A35" s="34" t="s">
        <v>27</v>
      </c>
      <c r="C35" s="151" t="s">
        <v>146</v>
      </c>
    </row>
    <row r="36" spans="1:3" ht="13.8">
      <c r="A36" s="82">
        <v>1</v>
      </c>
      <c r="B36" s="81" t="s">
        <v>21</v>
      </c>
      <c r="C36" s="204">
        <v>1</v>
      </c>
    </row>
    <row r="37" spans="1:3" ht="13.8">
      <c r="A37" s="82">
        <v>2</v>
      </c>
      <c r="B37" s="81" t="s">
        <v>22</v>
      </c>
      <c r="C37" s="204">
        <v>1.03</v>
      </c>
    </row>
    <row r="38" spans="1:3" ht="13.8">
      <c r="A38" s="82">
        <v>3</v>
      </c>
      <c r="B38" s="81" t="s">
        <v>23</v>
      </c>
      <c r="C38" s="204">
        <v>1.06</v>
      </c>
    </row>
    <row r="39" spans="1:3">
      <c r="A39" s="34" t="s">
        <v>29</v>
      </c>
      <c r="C39" s="151" t="s">
        <v>146</v>
      </c>
    </row>
    <row r="40" spans="1:3" ht="13.8">
      <c r="A40" s="82">
        <v>1</v>
      </c>
      <c r="B40" s="81" t="s">
        <v>32</v>
      </c>
      <c r="C40" s="204">
        <v>1</v>
      </c>
    </row>
    <row r="41" spans="1:3" ht="13.8">
      <c r="A41" s="82">
        <v>2</v>
      </c>
      <c r="B41" s="81" t="s">
        <v>33</v>
      </c>
      <c r="C41" s="204">
        <v>1</v>
      </c>
    </row>
    <row r="42" spans="1:3" ht="13.8">
      <c r="A42" s="82">
        <v>3</v>
      </c>
      <c r="B42" s="81" t="s">
        <v>73</v>
      </c>
      <c r="C42" s="204">
        <v>1</v>
      </c>
    </row>
    <row r="43" spans="1:3" ht="13.8">
      <c r="A43" s="82">
        <v>4</v>
      </c>
      <c r="B43" s="81" t="s">
        <v>74</v>
      </c>
      <c r="C43" s="204">
        <v>1.05</v>
      </c>
    </row>
    <row r="44" spans="1:3" ht="13.8">
      <c r="A44" s="82">
        <v>5</v>
      </c>
      <c r="B44" s="81" t="s">
        <v>30</v>
      </c>
      <c r="C44" s="204">
        <v>1.05</v>
      </c>
    </row>
    <row r="45" spans="1:3">
      <c r="A45" s="34" t="s">
        <v>145</v>
      </c>
      <c r="C45" s="151" t="s">
        <v>146</v>
      </c>
    </row>
    <row r="46" spans="1:3" ht="13.8">
      <c r="A46" s="82">
        <v>1</v>
      </c>
      <c r="B46" s="83" t="s">
        <v>14</v>
      </c>
      <c r="C46" s="204">
        <v>1.1000000000000001</v>
      </c>
    </row>
    <row r="47" spans="1:3" ht="13.8">
      <c r="A47" s="82">
        <v>2</v>
      </c>
      <c r="B47" s="84" t="s">
        <v>15</v>
      </c>
      <c r="C47" s="204">
        <v>1</v>
      </c>
    </row>
    <row r="48" spans="1:3">
      <c r="A48" s="34"/>
      <c r="B48" s="34" t="s">
        <v>177</v>
      </c>
      <c r="C48" s="151" t="s">
        <v>146</v>
      </c>
    </row>
    <row r="49" spans="1:4" ht="13.8">
      <c r="A49" s="82">
        <v>1</v>
      </c>
      <c r="B49" s="83" t="s">
        <v>147</v>
      </c>
      <c r="C49" s="204">
        <v>1</v>
      </c>
    </row>
    <row r="50" spans="1:4" ht="13.8">
      <c r="A50" s="82">
        <v>2</v>
      </c>
      <c r="B50" s="198" t="s">
        <v>178</v>
      </c>
      <c r="C50" s="204">
        <v>1.1499999999999999</v>
      </c>
    </row>
    <row r="52" spans="1:4" ht="13.8">
      <c r="A52" s="388" t="s">
        <v>179</v>
      </c>
      <c r="B52" s="389"/>
      <c r="C52" s="390"/>
      <c r="D52" s="207">
        <v>1500</v>
      </c>
    </row>
    <row r="53" spans="1:4">
      <c r="A53" s="206"/>
      <c r="B53" s="206"/>
      <c r="C53" s="206"/>
    </row>
    <row r="54" spans="1:4" ht="13.8">
      <c r="A54" s="391" t="s">
        <v>180</v>
      </c>
      <c r="B54" s="392"/>
      <c r="C54" s="393"/>
      <c r="D54" s="209">
        <v>0.5</v>
      </c>
    </row>
  </sheetData>
  <sheetProtection algorithmName="SHA-512" hashValue="2YSzP8WolED/8/pWv9MCBLZJCjWUOwpAF4AUYcYVyPjdkzdcHudzcjhkPiUCIxsxSEwyF7Oj/zpWFEd/0oQMHg==" saltValue="AfpT6Byz0K9UWugXx+w/Zg==" spinCount="100000" sheet="1" objects="1" scenarios="1"/>
  <customSheetViews>
    <customSheetView guid="{398FF2B9-9C35-4944-9645-5E87FA7C56A5}" state="hidden" showRuler="0">
      <pageMargins left="0.75" right="0.75" top="1" bottom="1" header="0.5" footer="0.5"/>
      <headerFooter alignWithMargins="0"/>
    </customSheetView>
    <customSheetView guid="{522045B1-E88F-4DC6-A25A-441F595A7309}" state="hidden" showRuler="0">
      <selection activeCell="B16" sqref="B16"/>
      <pageMargins left="0.75" right="0.75" top="1" bottom="1" header="0.5" footer="0.5"/>
      <headerFooter alignWithMargins="0"/>
    </customSheetView>
  </customSheetViews>
  <mergeCells count="2">
    <mergeCell ref="A52:C52"/>
    <mergeCell ref="A54:C54"/>
  </mergeCells>
  <phoneticPr fontId="0" type="noConversion"/>
  <printOptions horizontalCentered="1"/>
  <pageMargins left="0" right="0" top="0.59055118110236227" bottom="0.78740157480314965" header="0.51181102362204722" footer="0.51181102362204722"/>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MENU</vt:lpstr>
      <vt:lpstr>PREMIUM</vt:lpstr>
      <vt:lpstr>Rate Cards</vt:lpstr>
      <vt:lpstr>Data</vt:lpstr>
      <vt:lpstr>BUSINESS_SELECT</vt:lpstr>
      <vt:lpstr>BUSINESS_SELECT_FHB</vt:lpstr>
      <vt:lpstr>HOMEBUYER_PLUS</vt:lpstr>
      <vt:lpstr>HOMEBUYER_PLUS_FHB</vt:lpstr>
      <vt:lpstr>LoanSize</vt:lpstr>
      <vt:lpstr>LVR</vt:lpstr>
      <vt:lpstr>Data!Print_Area</vt:lpstr>
      <vt:lpstr>PREMIUM!Print_Area</vt:lpstr>
      <vt:lpstr>PropertyType</vt:lpstr>
      <vt:lpstr>STANDARD</vt:lpstr>
      <vt:lpstr>STANDARD_FHB</vt:lpstr>
    </vt:vector>
  </TitlesOfParts>
  <Company>GE Mortgage Insurance Services P/L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Janu</cp:lastModifiedBy>
  <cp:lastPrinted>2013-03-11T06:44:48Z</cp:lastPrinted>
  <dcterms:created xsi:type="dcterms:W3CDTF">2003-06-03T08:27:06Z</dcterms:created>
  <dcterms:modified xsi:type="dcterms:W3CDTF">2020-05-20T23:42:01Z</dcterms:modified>
</cp:coreProperties>
</file>